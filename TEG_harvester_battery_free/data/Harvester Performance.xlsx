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peppe\Documents\School\TU - Delft\ET4399 - Dental Sensor\Thesis\Data\"/>
    </mc:Choice>
  </mc:AlternateContent>
  <xr:revisionPtr revIDLastSave="0" documentId="13_ncr:1_{05DF6E84-2DFB-41A0-88EE-05C57C02EE23}" xr6:coauthVersionLast="47" xr6:coauthVersionMax="47" xr10:uidLastSave="{00000000-0000-0000-0000-000000000000}"/>
  <bookViews>
    <workbookView xWindow="28680" yWindow="-7065" windowWidth="29040" windowHeight="15720" xr2:uid="{00000000-000D-0000-FFFF-FFFF00000000}"/>
  </bookViews>
  <sheets>
    <sheet name="Overview and Setup" sheetId="4" r:id="rId1"/>
    <sheet name="MRCY12" sheetId="2" r:id="rId2"/>
    <sheet name="LTC3108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3" i="3" l="1"/>
  <c r="AC12" i="3"/>
  <c r="AC11" i="3"/>
  <c r="AC10" i="3"/>
  <c r="W8" i="3"/>
  <c r="T8" i="3"/>
  <c r="Q9" i="3"/>
  <c r="N9" i="3"/>
  <c r="K9" i="3"/>
  <c r="K4" i="3"/>
  <c r="H8" i="3"/>
  <c r="H4" i="3"/>
  <c r="Z9" i="3"/>
  <c r="Z8" i="3"/>
  <c r="Z5" i="3"/>
  <c r="Z4" i="3"/>
  <c r="Z13" i="3"/>
  <c r="Z12" i="3"/>
  <c r="Z11" i="3"/>
  <c r="Z10" i="3"/>
  <c r="W13" i="3"/>
  <c r="W12" i="3"/>
  <c r="W11" i="3"/>
  <c r="T13" i="3"/>
  <c r="T12" i="3"/>
  <c r="T11" i="3"/>
  <c r="Q13" i="3"/>
  <c r="Q12" i="3"/>
  <c r="Q11" i="3"/>
  <c r="Q10" i="3"/>
  <c r="N13" i="3"/>
  <c r="N12" i="3"/>
  <c r="N11" i="3"/>
  <c r="N10" i="3"/>
  <c r="K13" i="3"/>
  <c r="K12" i="3"/>
  <c r="K11" i="3"/>
  <c r="K10" i="3"/>
  <c r="H13" i="3"/>
  <c r="H12" i="3"/>
  <c r="H11" i="3"/>
  <c r="H10" i="3"/>
  <c r="H9" i="3"/>
  <c r="D12" i="3"/>
  <c r="D13" i="3"/>
  <c r="AC13" i="2"/>
  <c r="AC12" i="2"/>
  <c r="Z13" i="2"/>
  <c r="Z12" i="2"/>
  <c r="Z11" i="2"/>
  <c r="W13" i="2"/>
  <c r="N11" i="2"/>
  <c r="T13" i="2"/>
  <c r="Q13" i="2"/>
  <c r="N13" i="2"/>
  <c r="K13" i="2"/>
  <c r="T12" i="2"/>
  <c r="Q12" i="2"/>
  <c r="N12" i="2"/>
  <c r="K12" i="2"/>
  <c r="H13" i="2"/>
  <c r="H12" i="2"/>
  <c r="D12" i="2"/>
  <c r="D13" i="2"/>
  <c r="F19" i="4"/>
  <c r="F12" i="4"/>
  <c r="F11" i="4"/>
  <c r="F15" i="4"/>
  <c r="F10" i="4"/>
  <c r="F9" i="4"/>
  <c r="F18" i="4"/>
  <c r="F17" i="4"/>
  <c r="F16" i="4"/>
  <c r="F13" i="4"/>
  <c r="F14" i="4"/>
  <c r="K10" i="2" l="1"/>
  <c r="H10" i="2"/>
  <c r="H11" i="2"/>
  <c r="W5" i="2"/>
  <c r="W6" i="2"/>
  <c r="W7" i="2"/>
  <c r="W8" i="2"/>
  <c r="W9" i="2"/>
  <c r="W10" i="2"/>
  <c r="W11" i="2"/>
  <c r="W12" i="2"/>
  <c r="W4" i="2"/>
  <c r="D20" i="2" l="1"/>
  <c r="H4" i="2"/>
  <c r="H5" i="2"/>
  <c r="D20" i="3" l="1"/>
  <c r="B20" i="3"/>
  <c r="D11" i="3"/>
  <c r="D10" i="3"/>
  <c r="D9" i="3"/>
  <c r="D8" i="3"/>
  <c r="D7" i="3"/>
  <c r="D6" i="3"/>
  <c r="D5" i="3"/>
  <c r="D4" i="3"/>
  <c r="B20" i="2"/>
  <c r="D11" i="2"/>
  <c r="D10" i="2"/>
  <c r="D9" i="2"/>
  <c r="D8" i="2"/>
  <c r="D7" i="2"/>
  <c r="D6" i="2"/>
  <c r="D5" i="2"/>
  <c r="D4" i="2"/>
  <c r="W7" i="3" l="1"/>
  <c r="Z6" i="3"/>
  <c r="AC5" i="3"/>
  <c r="Q8" i="3"/>
  <c r="T7" i="3"/>
  <c r="W6" i="3"/>
  <c r="T4" i="3"/>
  <c r="AC4" i="3"/>
  <c r="N6" i="3"/>
  <c r="N8" i="3"/>
  <c r="Q7" i="3"/>
  <c r="T6" i="3"/>
  <c r="W5" i="3"/>
  <c r="Q6" i="3"/>
  <c r="W4" i="3"/>
  <c r="W10" i="3"/>
  <c r="AC8" i="3"/>
  <c r="H7" i="3"/>
  <c r="K6" i="3"/>
  <c r="N5" i="3"/>
  <c r="Q4" i="3"/>
  <c r="Z7" i="3"/>
  <c r="N7" i="3"/>
  <c r="AC9" i="3"/>
  <c r="K7" i="3"/>
  <c r="T10" i="3"/>
  <c r="W9" i="3"/>
  <c r="AC7" i="3"/>
  <c r="H6" i="3"/>
  <c r="K5" i="3"/>
  <c r="N4" i="3"/>
  <c r="T9" i="3"/>
  <c r="AC6" i="3"/>
  <c r="H5" i="3"/>
  <c r="K8" i="3"/>
  <c r="T5" i="3"/>
  <c r="Q5" i="3"/>
  <c r="T11" i="2"/>
  <c r="Q11" i="2"/>
  <c r="Q10" i="2"/>
  <c r="T9" i="2"/>
  <c r="Z7" i="2"/>
  <c r="AC6" i="2"/>
  <c r="K4" i="2"/>
  <c r="K11" i="2"/>
  <c r="N10" i="2"/>
  <c r="Q9" i="2"/>
  <c r="T8" i="2"/>
  <c r="Z6" i="2"/>
  <c r="AC5" i="2"/>
  <c r="N9" i="2"/>
  <c r="Q8" i="2"/>
  <c r="T7" i="2"/>
  <c r="Z5" i="2"/>
  <c r="AC4" i="2"/>
  <c r="AC11" i="2"/>
  <c r="K9" i="2"/>
  <c r="N8" i="2"/>
  <c r="Q7" i="2"/>
  <c r="T6" i="2"/>
  <c r="Z4" i="2"/>
  <c r="AC10" i="2"/>
  <c r="H9" i="2"/>
  <c r="K8" i="2"/>
  <c r="N7" i="2"/>
  <c r="Q6" i="2"/>
  <c r="T5" i="2"/>
  <c r="Z10" i="2"/>
  <c r="AC9" i="2"/>
  <c r="H8" i="2"/>
  <c r="K7" i="2"/>
  <c r="N6" i="2"/>
  <c r="Q5" i="2"/>
  <c r="T4" i="2"/>
  <c r="Z9" i="2"/>
  <c r="AC8" i="2"/>
  <c r="H7" i="2"/>
  <c r="K6" i="2"/>
  <c r="N5" i="2"/>
  <c r="Q4" i="2"/>
  <c r="T10" i="2"/>
  <c r="Z8" i="2"/>
  <c r="AC7" i="2"/>
  <c r="H6" i="2"/>
  <c r="K5" i="2"/>
  <c r="N4" i="2"/>
</calcChain>
</file>

<file path=xl/sharedStrings.xml><?xml version="1.0" encoding="utf-8"?>
<sst xmlns="http://schemas.openxmlformats.org/spreadsheetml/2006/main" count="230" uniqueCount="48">
  <si>
    <t>CP07</t>
  </si>
  <si>
    <t>1MD04</t>
  </si>
  <si>
    <t>1MD06</t>
  </si>
  <si>
    <t>Set Point</t>
  </si>
  <si>
    <t>1S</t>
  </si>
  <si>
    <t>2S</t>
  </si>
  <si>
    <t>2P</t>
  </si>
  <si>
    <t>3S</t>
  </si>
  <si>
    <t>4S</t>
  </si>
  <si>
    <t>2S2P</t>
  </si>
  <si>
    <t>Hot Side</t>
  </si>
  <si>
    <t>Cold Side</t>
  </si>
  <si>
    <t>ΔT</t>
  </si>
  <si>
    <t>Time</t>
  </si>
  <si>
    <t>Scope</t>
  </si>
  <si>
    <t>Power</t>
  </si>
  <si>
    <t>-</t>
  </si>
  <si>
    <t>Measurements Setup</t>
  </si>
  <si>
    <t>Rigol DS1074</t>
  </si>
  <si>
    <t>C [F]</t>
  </si>
  <si>
    <t>Vout [V]</t>
  </si>
  <si>
    <t>Energy [µJ]</t>
  </si>
  <si>
    <t>Ambient 23,3</t>
  </si>
  <si>
    <t>Procedure</t>
  </si>
  <si>
    <t>Output is shorted</t>
  </si>
  <si>
    <t>Released and time is measured till voltage reaches output level (4.1V min)</t>
  </si>
  <si>
    <t>Time till output reaches full voltage</t>
  </si>
  <si>
    <t>Released and time is measured till voltage reaches output level (2.25V min)</t>
  </si>
  <si>
    <t>Vstore is shorted</t>
  </si>
  <si>
    <t>Usinging Densor board with only the harvester</t>
  </si>
  <si>
    <t>Setup</t>
  </si>
  <si>
    <t>The time it takes to charge a known value capcitor is measurend using the RIGOL DS1074</t>
  </si>
  <si>
    <t>The capacity is converted to energy. With the time the eneryg is converted to power</t>
  </si>
  <si>
    <t>Using the Mercury Dev Board</t>
  </si>
  <si>
    <t>Harvester</t>
  </si>
  <si>
    <t>MCRY</t>
  </si>
  <si>
    <t>CP07 1S</t>
  </si>
  <si>
    <t>CP07 2S</t>
  </si>
  <si>
    <t>Cold-start temperature</t>
  </si>
  <si>
    <t>LTC3108</t>
  </si>
  <si>
    <t>TEG</t>
  </si>
  <si>
    <t xml:space="preserve"> </t>
  </si>
  <si>
    <r>
      <t>P</t>
    </r>
    <r>
      <rPr>
        <b/>
        <vertAlign val="subscript"/>
        <sz val="11"/>
        <color theme="1"/>
        <rFont val="Calibri"/>
        <family val="2"/>
        <scheme val="minor"/>
      </rPr>
      <t>out</t>
    </r>
    <r>
      <rPr>
        <b/>
        <sz val="11"/>
        <color theme="1"/>
        <rFont val="Calibri"/>
        <family val="2"/>
        <scheme val="minor"/>
      </rPr>
      <t xml:space="preserve"> @ </t>
    </r>
    <r>
      <rPr>
        <b/>
        <sz val="11"/>
        <color theme="1"/>
        <rFont val="Calibri"/>
        <family val="2"/>
      </rPr>
      <t>ΔT</t>
    </r>
    <r>
      <rPr>
        <b/>
        <sz val="11"/>
        <color theme="1"/>
        <rFont val="Calibri"/>
        <family val="2"/>
        <scheme val="minor"/>
      </rPr>
      <t xml:space="preserve"> 15 </t>
    </r>
    <r>
      <rPr>
        <b/>
        <sz val="11"/>
        <color theme="1"/>
        <rFont val="Calibri"/>
        <family val="2"/>
      </rPr>
      <t>°C</t>
    </r>
    <r>
      <rPr>
        <b/>
        <sz val="11"/>
        <color theme="1"/>
        <rFont val="Calibri"/>
        <family val="2"/>
        <scheme val="minor"/>
      </rPr>
      <t xml:space="preserve"> [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W]</t>
    </r>
  </si>
  <si>
    <t>CP07 2S2P</t>
  </si>
  <si>
    <t>CP07 4S</t>
  </si>
  <si>
    <r>
      <t>Power density  [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W/mm2]</t>
    </r>
  </si>
  <si>
    <t>CP07 2P</t>
  </si>
  <si>
    <t>Using the TEG-testsetup the delta T is varied between 1 and 15 degrees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</si>
</sst>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164" fontId="0" fillId="0" borderId="0" xfId="0" applyNumberFormat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63C5-2C18-474E-A377-59F7EA20EAE3}">
  <dimension ref="B2:S30"/>
  <sheetViews>
    <sheetView tabSelected="1" workbookViewId="0">
      <selection activeCell="D21" sqref="D21"/>
    </sheetView>
  </sheetViews>
  <sheetFormatPr defaultRowHeight="15" x14ac:dyDescent="0.25"/>
  <cols>
    <col min="2" max="2" width="10" customWidth="1"/>
    <col min="3" max="3" width="9.7109375" customWidth="1"/>
    <col min="4" max="4" width="23.7109375" customWidth="1"/>
    <col min="5" max="5" width="21.28515625" customWidth="1"/>
    <col min="6" max="6" width="25.7109375" customWidth="1"/>
  </cols>
  <sheetData>
    <row r="2" spans="2:19" x14ac:dyDescent="0.25">
      <c r="B2" s="1" t="s">
        <v>30</v>
      </c>
    </row>
    <row r="3" spans="2:19" x14ac:dyDescent="0.25">
      <c r="B3" t="s">
        <v>47</v>
      </c>
    </row>
    <row r="4" spans="2:19" x14ac:dyDescent="0.25">
      <c r="B4" t="s">
        <v>31</v>
      </c>
    </row>
    <row r="5" spans="2:19" x14ac:dyDescent="0.25">
      <c r="B5" t="s">
        <v>32</v>
      </c>
    </row>
    <row r="8" spans="2:19" ht="18" x14ac:dyDescent="0.25">
      <c r="B8" s="4" t="s">
        <v>34</v>
      </c>
      <c r="C8" s="4" t="s">
        <v>40</v>
      </c>
      <c r="D8" s="4" t="s">
        <v>38</v>
      </c>
      <c r="E8" s="4" t="s">
        <v>42</v>
      </c>
      <c r="F8" s="10" t="s">
        <v>45</v>
      </c>
    </row>
    <row r="9" spans="2:19" x14ac:dyDescent="0.25">
      <c r="B9" s="12" t="s">
        <v>39</v>
      </c>
      <c r="C9" t="s">
        <v>36</v>
      </c>
      <c r="D9">
        <v>7</v>
      </c>
      <c r="E9">
        <v>39.1</v>
      </c>
      <c r="F9" s="7">
        <f>E9/(52.7*1)</f>
        <v>0.74193548387096775</v>
      </c>
    </row>
    <row r="10" spans="2:19" x14ac:dyDescent="0.25">
      <c r="B10" s="12"/>
      <c r="C10" t="s">
        <v>37</v>
      </c>
      <c r="D10">
        <v>5</v>
      </c>
      <c r="E10">
        <v>52</v>
      </c>
      <c r="F10" s="7">
        <f>E10/(52.7*2)</f>
        <v>0.49335863377609107</v>
      </c>
    </row>
    <row r="11" spans="2:19" x14ac:dyDescent="0.25">
      <c r="B11" s="12"/>
      <c r="C11" t="s">
        <v>1</v>
      </c>
      <c r="D11">
        <v>7</v>
      </c>
      <c r="E11">
        <v>28.7</v>
      </c>
      <c r="F11" s="7">
        <f>E11/(96*1)</f>
        <v>0.29895833333333333</v>
      </c>
    </row>
    <row r="12" spans="2:19" x14ac:dyDescent="0.25">
      <c r="B12" s="12"/>
      <c r="C12" t="s">
        <v>2</v>
      </c>
      <c r="D12">
        <v>5</v>
      </c>
      <c r="E12">
        <v>46.9</v>
      </c>
      <c r="F12" s="7">
        <f>E12/(196*1)</f>
        <v>0.23928571428571427</v>
      </c>
    </row>
    <row r="13" spans="2:19" x14ac:dyDescent="0.25">
      <c r="B13" s="13" t="s">
        <v>35</v>
      </c>
      <c r="C13" t="s">
        <v>36</v>
      </c>
      <c r="D13">
        <v>4</v>
      </c>
      <c r="E13">
        <v>243.6</v>
      </c>
      <c r="F13" s="7">
        <f>E13/(52.7*1)</f>
        <v>4.6223908918406069</v>
      </c>
    </row>
    <row r="14" spans="2:19" x14ac:dyDescent="0.25">
      <c r="B14" s="13"/>
      <c r="C14" t="s">
        <v>37</v>
      </c>
      <c r="D14">
        <v>3</v>
      </c>
      <c r="E14">
        <v>511.6</v>
      </c>
      <c r="F14" s="7">
        <f>E14/(52.7*2)</f>
        <v>4.8538899430740035</v>
      </c>
    </row>
    <row r="15" spans="2:19" x14ac:dyDescent="0.25">
      <c r="B15" s="13"/>
      <c r="C15" t="s">
        <v>46</v>
      </c>
      <c r="D15">
        <v>4</v>
      </c>
      <c r="E15" s="7">
        <v>267.83246073298432</v>
      </c>
      <c r="F15" s="7">
        <f>E15/(52.7*2)</f>
        <v>2.5411049405406478</v>
      </c>
      <c r="S15" t="s">
        <v>41</v>
      </c>
    </row>
    <row r="16" spans="2:19" x14ac:dyDescent="0.25">
      <c r="B16" s="13"/>
      <c r="C16" t="s">
        <v>44</v>
      </c>
      <c r="D16">
        <v>3</v>
      </c>
      <c r="E16" s="7">
        <v>647.54430379746827</v>
      </c>
      <c r="F16" s="7">
        <f>E16/(52.7*4)</f>
        <v>3.0718420483750863</v>
      </c>
    </row>
    <row r="17" spans="2:6" x14ac:dyDescent="0.25">
      <c r="B17" s="13"/>
      <c r="C17" t="s">
        <v>43</v>
      </c>
      <c r="D17">
        <v>2</v>
      </c>
      <c r="E17" s="7">
        <v>639.44999999999993</v>
      </c>
      <c r="F17" s="7">
        <f>E17/(52.7*4)</f>
        <v>3.0334440227703978</v>
      </c>
    </row>
    <row r="18" spans="2:6" x14ac:dyDescent="0.25">
      <c r="B18" s="13"/>
      <c r="C18" t="s">
        <v>1</v>
      </c>
      <c r="D18">
        <v>4</v>
      </c>
      <c r="E18">
        <v>390.5</v>
      </c>
      <c r="F18" s="7">
        <f>E18/96</f>
        <v>4.067708333333333</v>
      </c>
    </row>
    <row r="19" spans="2:6" x14ac:dyDescent="0.25">
      <c r="B19" s="13"/>
      <c r="C19" t="s">
        <v>2</v>
      </c>
      <c r="D19">
        <v>3</v>
      </c>
      <c r="E19">
        <v>402.8</v>
      </c>
      <c r="F19" s="7">
        <f>E19/196</f>
        <v>2.0551020408163265</v>
      </c>
    </row>
    <row r="25" spans="2:6" x14ac:dyDescent="0.25">
      <c r="D25" s="10"/>
    </row>
    <row r="26" spans="2:6" x14ac:dyDescent="0.25">
      <c r="D26" s="7"/>
    </row>
    <row r="27" spans="2:6" x14ac:dyDescent="0.25">
      <c r="D27" s="7"/>
    </row>
    <row r="28" spans="2:6" x14ac:dyDescent="0.25">
      <c r="D28" s="7"/>
    </row>
    <row r="29" spans="2:6" x14ac:dyDescent="0.25">
      <c r="D29" s="7"/>
    </row>
    <row r="30" spans="2:6" x14ac:dyDescent="0.25">
      <c r="D30" s="7"/>
    </row>
  </sheetData>
  <mergeCells count="2">
    <mergeCell ref="B9:B12"/>
    <mergeCell ref="B13:B19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D4353-EF54-4075-875E-424700211BF1}">
  <dimension ref="B1:AC34"/>
  <sheetViews>
    <sheetView workbookViewId="0">
      <selection activeCell="F11" sqref="F11:H11"/>
    </sheetView>
  </sheetViews>
  <sheetFormatPr defaultRowHeight="15" x14ac:dyDescent="0.25"/>
  <cols>
    <col min="4" max="4" width="12.7109375" bestFit="1" customWidth="1"/>
    <col min="6" max="6" width="5.7109375" bestFit="1" customWidth="1"/>
    <col min="7" max="7" width="6.7109375" bestFit="1" customWidth="1"/>
    <col min="8" max="8" width="7.140625" bestFit="1" customWidth="1"/>
    <col min="9" max="9" width="5.7109375" bestFit="1" customWidth="1"/>
    <col min="10" max="10" width="5.7109375" customWidth="1"/>
    <col min="11" max="11" width="7.140625" bestFit="1" customWidth="1"/>
    <col min="12" max="12" width="5.7109375" bestFit="1" customWidth="1"/>
    <col min="13" max="13" width="6.7109375" bestFit="1" customWidth="1"/>
    <col min="14" max="14" width="7.140625" bestFit="1" customWidth="1"/>
    <col min="15" max="15" width="5.7109375" bestFit="1" customWidth="1"/>
    <col min="16" max="16" width="5.7109375" customWidth="1"/>
    <col min="17" max="17" width="7.140625" bestFit="1" customWidth="1"/>
    <col min="18" max="23" width="7.140625" customWidth="1"/>
    <col min="24" max="24" width="7" bestFit="1" customWidth="1"/>
    <col min="25" max="25" width="7" customWidth="1"/>
    <col min="26" max="26" width="7.140625" bestFit="1" customWidth="1"/>
    <col min="27" max="27" width="7" bestFit="1" customWidth="1"/>
    <col min="28" max="28" width="7" customWidth="1"/>
    <col min="29" max="29" width="7.140625" bestFit="1" customWidth="1"/>
  </cols>
  <sheetData>
    <row r="1" spans="2:29" x14ac:dyDescent="0.25">
      <c r="F1" s="12" t="s">
        <v>0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 t="s">
        <v>1</v>
      </c>
      <c r="Y1" s="12"/>
      <c r="Z1" s="12"/>
      <c r="AA1" s="12" t="s">
        <v>2</v>
      </c>
      <c r="AB1" s="12"/>
      <c r="AC1" s="12"/>
    </row>
    <row r="2" spans="2:29" x14ac:dyDescent="0.25">
      <c r="B2" s="12" t="s">
        <v>3</v>
      </c>
      <c r="C2" s="12"/>
      <c r="D2" s="12"/>
      <c r="F2" s="14" t="s">
        <v>4</v>
      </c>
      <c r="G2" s="14"/>
      <c r="H2" s="14"/>
      <c r="I2" s="14" t="s">
        <v>5</v>
      </c>
      <c r="J2" s="14"/>
      <c r="K2" s="14"/>
      <c r="L2" s="14" t="s">
        <v>6</v>
      </c>
      <c r="M2" s="14"/>
      <c r="N2" s="14"/>
      <c r="O2" s="14" t="s">
        <v>7</v>
      </c>
      <c r="P2" s="14"/>
      <c r="Q2" s="14"/>
      <c r="R2" s="14" t="s">
        <v>8</v>
      </c>
      <c r="S2" s="14"/>
      <c r="T2" s="14"/>
      <c r="U2" s="14" t="s">
        <v>9</v>
      </c>
      <c r="V2" s="14"/>
      <c r="W2" s="14"/>
      <c r="X2" s="14" t="s">
        <v>4</v>
      </c>
      <c r="Y2" s="14"/>
      <c r="Z2" s="14"/>
      <c r="AA2" s="14" t="s">
        <v>4</v>
      </c>
      <c r="AB2" s="14"/>
      <c r="AC2" s="14"/>
    </row>
    <row r="3" spans="2:29" x14ac:dyDescent="0.25">
      <c r="B3" s="4" t="s">
        <v>10</v>
      </c>
      <c r="C3" s="4" t="s">
        <v>11</v>
      </c>
      <c r="D3" s="3" t="s">
        <v>12</v>
      </c>
      <c r="F3" s="5" t="s">
        <v>13</v>
      </c>
      <c r="G3" s="5" t="s">
        <v>14</v>
      </c>
      <c r="H3" s="5" t="s">
        <v>15</v>
      </c>
      <c r="I3" s="5" t="s">
        <v>13</v>
      </c>
      <c r="J3" s="5" t="s">
        <v>14</v>
      </c>
      <c r="K3" s="5" t="s">
        <v>15</v>
      </c>
      <c r="L3" s="5" t="s">
        <v>13</v>
      </c>
      <c r="M3" s="5" t="s">
        <v>14</v>
      </c>
      <c r="N3" s="5" t="s">
        <v>15</v>
      </c>
      <c r="O3" s="5" t="s">
        <v>13</v>
      </c>
      <c r="P3" s="5" t="s">
        <v>14</v>
      </c>
      <c r="Q3" s="5" t="s">
        <v>15</v>
      </c>
      <c r="R3" s="5" t="s">
        <v>13</v>
      </c>
      <c r="S3" s="5" t="s">
        <v>14</v>
      </c>
      <c r="T3" s="5" t="s">
        <v>15</v>
      </c>
      <c r="U3" s="5" t="s">
        <v>13</v>
      </c>
      <c r="V3" s="5" t="s">
        <v>14</v>
      </c>
      <c r="W3" s="5" t="s">
        <v>15</v>
      </c>
      <c r="X3" s="5" t="s">
        <v>13</v>
      </c>
      <c r="Y3" s="5" t="s">
        <v>14</v>
      </c>
      <c r="Z3" s="5" t="s">
        <v>15</v>
      </c>
      <c r="AA3" s="5" t="s">
        <v>13</v>
      </c>
      <c r="AB3" s="5" t="s">
        <v>14</v>
      </c>
      <c r="AC3" s="5" t="s">
        <v>15</v>
      </c>
    </row>
    <row r="4" spans="2:29" x14ac:dyDescent="0.25">
      <c r="B4">
        <v>35</v>
      </c>
      <c r="C4">
        <v>20</v>
      </c>
      <c r="D4" s="6">
        <f t="shared" ref="D4:D10" si="0">ABS(C4-B4)</f>
        <v>15</v>
      </c>
      <c r="F4" s="9">
        <v>2.1</v>
      </c>
      <c r="G4" s="8">
        <v>8</v>
      </c>
      <c r="H4" s="9">
        <f>IFERROR( $D$20/F4, 0)</f>
        <v>243.6</v>
      </c>
      <c r="I4" s="9">
        <v>1</v>
      </c>
      <c r="J4" s="8">
        <v>21</v>
      </c>
      <c r="K4" s="9">
        <f>IFERROR( $D$20/I4, 0)</f>
        <v>511.56</v>
      </c>
      <c r="L4" s="11">
        <v>1.91</v>
      </c>
      <c r="M4" s="11">
        <v>39</v>
      </c>
      <c r="N4" s="9">
        <f t="shared" ref="N4:N13" si="1">IFERROR( $D$20/L4, 0)</f>
        <v>267.83246073298432</v>
      </c>
      <c r="O4" s="9">
        <v>1.06</v>
      </c>
      <c r="P4" s="9">
        <v>47</v>
      </c>
      <c r="Q4" s="9">
        <f>IFERROR( $D$20/O4, 0)</f>
        <v>482.60377358490564</v>
      </c>
      <c r="R4" s="9">
        <v>0.79</v>
      </c>
      <c r="S4" s="9">
        <v>62</v>
      </c>
      <c r="T4" s="9">
        <f t="shared" ref="T4:T13" si="2">IFERROR( $D$20/R4, 0)</f>
        <v>647.54430379746827</v>
      </c>
      <c r="U4" s="9">
        <v>0.8</v>
      </c>
      <c r="V4" s="9">
        <v>78</v>
      </c>
      <c r="W4" s="9">
        <f>IFERROR( $D$20/U4, 0)</f>
        <v>639.44999999999993</v>
      </c>
      <c r="X4" s="9">
        <v>1.31</v>
      </c>
      <c r="Y4" s="9">
        <v>7</v>
      </c>
      <c r="Z4" s="9">
        <f>IFERROR( $D$20/X4, 0)</f>
        <v>390.50381679389312</v>
      </c>
      <c r="AA4" s="9">
        <v>1.27</v>
      </c>
      <c r="AB4" s="9">
        <v>20</v>
      </c>
      <c r="AC4" s="9">
        <f>IFERROR( $D$20/AA4, 0)</f>
        <v>402.8031496062992</v>
      </c>
    </row>
    <row r="5" spans="2:29" x14ac:dyDescent="0.25">
      <c r="B5">
        <v>35</v>
      </c>
      <c r="C5">
        <v>22</v>
      </c>
      <c r="D5" s="6">
        <f t="shared" si="0"/>
        <v>13</v>
      </c>
      <c r="F5" s="9">
        <v>3.07</v>
      </c>
      <c r="G5" s="8">
        <v>7</v>
      </c>
      <c r="H5" s="9">
        <f>IFERROR( $D$20/F5, 0)</f>
        <v>166.63192182410424</v>
      </c>
      <c r="I5" s="9">
        <v>1.36</v>
      </c>
      <c r="J5" s="8">
        <v>20</v>
      </c>
      <c r="K5" s="9">
        <f t="shared" ref="K5:K9" si="3">IFERROR( $D$20/I5, 0)</f>
        <v>376.14705882352939</v>
      </c>
      <c r="L5" s="11">
        <v>2.97</v>
      </c>
      <c r="M5" s="11">
        <v>38</v>
      </c>
      <c r="N5" s="9">
        <f t="shared" si="1"/>
        <v>172.24242424242422</v>
      </c>
      <c r="O5" s="9">
        <v>1.44</v>
      </c>
      <c r="P5" s="9">
        <v>46</v>
      </c>
      <c r="Q5" s="9">
        <f t="shared" ref="Q5:Q10" si="4">IFERROR( $D$20/O5, 0)</f>
        <v>355.25</v>
      </c>
      <c r="R5" s="9">
        <v>0.98</v>
      </c>
      <c r="S5" s="9">
        <v>61</v>
      </c>
      <c r="T5" s="9">
        <f t="shared" si="2"/>
        <v>522</v>
      </c>
      <c r="U5" s="9">
        <v>1.03</v>
      </c>
      <c r="V5" s="9">
        <v>77</v>
      </c>
      <c r="W5" s="9">
        <f t="shared" ref="W5:W12" si="5">IFERROR( $D$20/U5, 0)</f>
        <v>496.66019417475729</v>
      </c>
      <c r="X5" s="9">
        <v>1.484</v>
      </c>
      <c r="Y5" s="9">
        <v>8</v>
      </c>
      <c r="Z5" s="9">
        <f t="shared" ref="Z5:Z13" si="6">IFERROR( $D$20/X5, 0)</f>
        <v>344.71698113207549</v>
      </c>
      <c r="AA5" s="9">
        <v>1.1100000000000001</v>
      </c>
      <c r="AB5" s="9">
        <v>21</v>
      </c>
      <c r="AC5" s="9">
        <f t="shared" ref="AC5:AC10" si="7">IFERROR( $D$20/AA5, 0)</f>
        <v>460.86486486486484</v>
      </c>
    </row>
    <row r="6" spans="2:29" x14ac:dyDescent="0.25">
      <c r="B6">
        <v>35</v>
      </c>
      <c r="C6">
        <v>24</v>
      </c>
      <c r="D6" s="6">
        <f t="shared" si="0"/>
        <v>11</v>
      </c>
      <c r="F6" s="9">
        <v>4.5199999999999996</v>
      </c>
      <c r="G6" s="8">
        <v>6</v>
      </c>
      <c r="H6" s="9">
        <f t="shared" ref="H6:H9" si="8">IFERROR( $D$20/F6, 0)</f>
        <v>113.17699115044249</v>
      </c>
      <c r="I6" s="9">
        <v>1.97</v>
      </c>
      <c r="J6" s="8">
        <v>19</v>
      </c>
      <c r="K6" s="9">
        <f t="shared" si="3"/>
        <v>259.67512690355329</v>
      </c>
      <c r="L6" s="11">
        <v>3.46</v>
      </c>
      <c r="M6" s="11">
        <v>37</v>
      </c>
      <c r="N6" s="9">
        <f t="shared" si="1"/>
        <v>147.84971098265896</v>
      </c>
      <c r="O6" s="9">
        <v>1.81</v>
      </c>
      <c r="P6" s="9">
        <v>45</v>
      </c>
      <c r="Q6" s="9">
        <f t="shared" si="4"/>
        <v>282.62983425414365</v>
      </c>
      <c r="R6" s="9">
        <v>1.24</v>
      </c>
      <c r="S6" s="9">
        <v>60</v>
      </c>
      <c r="T6" s="9">
        <f t="shared" si="2"/>
        <v>412.54838709677421</v>
      </c>
      <c r="U6" s="9">
        <v>1.51</v>
      </c>
      <c r="V6" s="9">
        <v>76</v>
      </c>
      <c r="W6" s="9">
        <f t="shared" si="5"/>
        <v>338.78145695364236</v>
      </c>
      <c r="X6" s="9">
        <v>2.2599999999999998</v>
      </c>
      <c r="Y6" s="9">
        <v>9</v>
      </c>
      <c r="Z6" s="9">
        <f t="shared" si="6"/>
        <v>226.35398230088498</v>
      </c>
      <c r="AA6" s="9">
        <v>1.69</v>
      </c>
      <c r="AB6" s="9">
        <v>22</v>
      </c>
      <c r="AC6" s="9">
        <f t="shared" si="7"/>
        <v>302.69822485207101</v>
      </c>
    </row>
    <row r="7" spans="2:29" x14ac:dyDescent="0.25">
      <c r="B7">
        <v>35</v>
      </c>
      <c r="C7">
        <v>26</v>
      </c>
      <c r="D7" s="6">
        <f t="shared" si="0"/>
        <v>9</v>
      </c>
      <c r="F7" s="9">
        <v>6.9</v>
      </c>
      <c r="G7" s="8">
        <v>5</v>
      </c>
      <c r="H7" s="9">
        <f t="shared" si="8"/>
        <v>74.139130434782601</v>
      </c>
      <c r="I7" s="9">
        <v>2.77</v>
      </c>
      <c r="J7" s="8">
        <v>18</v>
      </c>
      <c r="K7" s="9">
        <f t="shared" si="3"/>
        <v>184.67870036101084</v>
      </c>
      <c r="L7" s="11">
        <v>5.72</v>
      </c>
      <c r="M7" s="11">
        <v>36</v>
      </c>
      <c r="N7" s="9">
        <f t="shared" si="1"/>
        <v>89.43356643356644</v>
      </c>
      <c r="O7" s="9">
        <v>2.57</v>
      </c>
      <c r="P7" s="9">
        <v>44</v>
      </c>
      <c r="Q7" s="9">
        <f t="shared" si="4"/>
        <v>199.05058365758757</v>
      </c>
      <c r="R7" s="9">
        <v>1.7</v>
      </c>
      <c r="S7" s="9">
        <v>59</v>
      </c>
      <c r="T7" s="9">
        <f t="shared" si="2"/>
        <v>300.91764705882355</v>
      </c>
      <c r="U7" s="9">
        <v>1.78</v>
      </c>
      <c r="V7" s="9">
        <v>75</v>
      </c>
      <c r="W7" s="9">
        <f t="shared" si="5"/>
        <v>287.39325842696627</v>
      </c>
      <c r="X7" s="9">
        <v>3.01</v>
      </c>
      <c r="Y7" s="9">
        <v>10</v>
      </c>
      <c r="Z7" s="9">
        <f t="shared" si="6"/>
        <v>169.95348837209303</v>
      </c>
      <c r="AA7" s="9">
        <v>2.5</v>
      </c>
      <c r="AB7" s="9">
        <v>2</v>
      </c>
      <c r="AC7" s="9">
        <f t="shared" si="7"/>
        <v>204.624</v>
      </c>
    </row>
    <row r="8" spans="2:29" x14ac:dyDescent="0.25">
      <c r="B8">
        <v>35</v>
      </c>
      <c r="C8">
        <v>28</v>
      </c>
      <c r="D8" s="6">
        <f t="shared" si="0"/>
        <v>7</v>
      </c>
      <c r="F8" s="9">
        <v>10.9</v>
      </c>
      <c r="G8" s="8">
        <v>4</v>
      </c>
      <c r="H8" s="9">
        <f t="shared" si="8"/>
        <v>46.93211009174312</v>
      </c>
      <c r="I8" s="9">
        <v>4.66</v>
      </c>
      <c r="J8" s="8">
        <v>17</v>
      </c>
      <c r="K8" s="9">
        <f t="shared" si="3"/>
        <v>109.77682403433477</v>
      </c>
      <c r="L8" s="11">
        <v>9.08</v>
      </c>
      <c r="M8" s="11">
        <v>35</v>
      </c>
      <c r="N8" s="9">
        <f t="shared" si="1"/>
        <v>56.33920704845815</v>
      </c>
      <c r="O8" s="9">
        <v>4.2</v>
      </c>
      <c r="P8" s="9">
        <v>43</v>
      </c>
      <c r="Q8" s="9">
        <f t="shared" si="4"/>
        <v>121.8</v>
      </c>
      <c r="R8" s="9">
        <v>2.73</v>
      </c>
      <c r="S8" s="9">
        <v>58</v>
      </c>
      <c r="T8" s="9">
        <f t="shared" si="2"/>
        <v>187.38461538461539</v>
      </c>
      <c r="U8" s="9">
        <v>3.74</v>
      </c>
      <c r="V8" s="9">
        <v>74</v>
      </c>
      <c r="W8" s="9">
        <f t="shared" si="5"/>
        <v>136.7807486631016</v>
      </c>
      <c r="X8" s="9">
        <v>5.42</v>
      </c>
      <c r="Y8" s="9">
        <v>11</v>
      </c>
      <c r="Z8" s="9">
        <f t="shared" si="6"/>
        <v>94.383763837638384</v>
      </c>
      <c r="AA8" s="9">
        <v>3.95</v>
      </c>
      <c r="AB8" s="9">
        <v>24</v>
      </c>
      <c r="AC8" s="9">
        <f t="shared" si="7"/>
        <v>129.50886075949367</v>
      </c>
    </row>
    <row r="9" spans="2:29" x14ac:dyDescent="0.25">
      <c r="B9">
        <v>35</v>
      </c>
      <c r="C9">
        <v>30</v>
      </c>
      <c r="D9" s="6">
        <f t="shared" si="0"/>
        <v>5</v>
      </c>
      <c r="F9" s="9">
        <v>18.3</v>
      </c>
      <c r="G9" s="8">
        <v>3</v>
      </c>
      <c r="H9" s="9">
        <f t="shared" si="8"/>
        <v>27.954098360655738</v>
      </c>
      <c r="I9" s="9">
        <v>10.199999999999999</v>
      </c>
      <c r="J9" s="8">
        <v>16</v>
      </c>
      <c r="K9" s="9">
        <f t="shared" si="3"/>
        <v>50.152941176470591</v>
      </c>
      <c r="L9" s="11">
        <v>19</v>
      </c>
      <c r="M9" s="11">
        <v>34</v>
      </c>
      <c r="N9" s="9">
        <f t="shared" si="1"/>
        <v>26.92421052631579</v>
      </c>
      <c r="O9" s="9">
        <v>10.199999999999999</v>
      </c>
      <c r="P9" s="9">
        <v>42</v>
      </c>
      <c r="Q9" s="9">
        <f t="shared" si="4"/>
        <v>50.152941176470591</v>
      </c>
      <c r="R9" s="9">
        <v>4.9000000000000004</v>
      </c>
      <c r="S9" s="9">
        <v>57</v>
      </c>
      <c r="T9" s="9">
        <f t="shared" si="2"/>
        <v>104.39999999999999</v>
      </c>
      <c r="U9" s="9">
        <v>7.36</v>
      </c>
      <c r="V9" s="9">
        <v>73</v>
      </c>
      <c r="W9" s="9">
        <f t="shared" si="5"/>
        <v>69.505434782608688</v>
      </c>
      <c r="X9" s="9">
        <v>16.760000000000002</v>
      </c>
      <c r="Y9" s="9">
        <v>12</v>
      </c>
      <c r="Z9" s="9">
        <f t="shared" si="6"/>
        <v>30.522673031026251</v>
      </c>
      <c r="AA9" s="9">
        <v>10.32</v>
      </c>
      <c r="AB9" s="9">
        <v>25</v>
      </c>
      <c r="AC9" s="9">
        <f t="shared" si="7"/>
        <v>49.569767441860463</v>
      </c>
    </row>
    <row r="10" spans="2:29" x14ac:dyDescent="0.25">
      <c r="B10">
        <v>35</v>
      </c>
      <c r="C10">
        <v>31</v>
      </c>
      <c r="D10" s="6">
        <f t="shared" si="0"/>
        <v>4</v>
      </c>
      <c r="F10" s="9">
        <v>42.2</v>
      </c>
      <c r="G10" s="8">
        <v>2</v>
      </c>
      <c r="H10" s="9">
        <f>IFERROR( $D$20/F10, 0)</f>
        <v>12.122274881516587</v>
      </c>
      <c r="I10" s="9">
        <v>15.28</v>
      </c>
      <c r="J10" s="8">
        <v>15</v>
      </c>
      <c r="K10" s="9">
        <f>IFERROR( $D$20/I10, 0)</f>
        <v>33.47905759162304</v>
      </c>
      <c r="L10" s="11">
        <v>33</v>
      </c>
      <c r="M10" s="11">
        <v>33</v>
      </c>
      <c r="N10" s="9">
        <f t="shared" si="1"/>
        <v>15.501818181818182</v>
      </c>
      <c r="O10" s="9">
        <v>16.600000000000001</v>
      </c>
      <c r="P10" s="9">
        <v>41</v>
      </c>
      <c r="Q10" s="9">
        <f t="shared" si="4"/>
        <v>30.816867469879515</v>
      </c>
      <c r="R10" s="9">
        <v>9.2799999999999994</v>
      </c>
      <c r="S10" s="9">
        <v>55</v>
      </c>
      <c r="T10" s="9">
        <f t="shared" si="2"/>
        <v>55.125000000000007</v>
      </c>
      <c r="U10" s="9">
        <v>11.6</v>
      </c>
      <c r="V10" s="9">
        <v>72</v>
      </c>
      <c r="W10" s="9">
        <f t="shared" si="5"/>
        <v>44.1</v>
      </c>
      <c r="X10" s="9">
        <v>28.8</v>
      </c>
      <c r="Y10" s="9">
        <v>13</v>
      </c>
      <c r="Z10" s="9">
        <f t="shared" si="6"/>
        <v>17.762499999999999</v>
      </c>
      <c r="AA10" s="9">
        <v>20</v>
      </c>
      <c r="AB10" s="9">
        <v>26</v>
      </c>
      <c r="AC10" s="9">
        <f t="shared" si="7"/>
        <v>25.577999999999999</v>
      </c>
    </row>
    <row r="11" spans="2:29" x14ac:dyDescent="0.25">
      <c r="B11">
        <v>35</v>
      </c>
      <c r="C11">
        <v>32</v>
      </c>
      <c r="D11" s="6">
        <f>ABS(C11-B11)</f>
        <v>3</v>
      </c>
      <c r="F11" s="9" t="s">
        <v>16</v>
      </c>
      <c r="G11" s="9" t="s">
        <v>16</v>
      </c>
      <c r="H11" s="9">
        <f>IFERROR( $D$20/F11, 0)</f>
        <v>0</v>
      </c>
      <c r="I11" s="9">
        <v>24.6</v>
      </c>
      <c r="J11" s="8">
        <v>14</v>
      </c>
      <c r="K11" s="9">
        <f>IFERROR( $D$20/I11, 0)</f>
        <v>20.79512195121951</v>
      </c>
      <c r="L11" s="9" t="s">
        <v>16</v>
      </c>
      <c r="M11" s="9" t="s">
        <v>16</v>
      </c>
      <c r="N11" s="9">
        <f>IFERROR( $D$20/L11, 0)</f>
        <v>0</v>
      </c>
      <c r="O11" s="9">
        <v>34.4</v>
      </c>
      <c r="P11" s="9">
        <v>40</v>
      </c>
      <c r="Q11" s="9">
        <f>IFERROR( $D$20/O11, 0)</f>
        <v>14.870930232558139</v>
      </c>
      <c r="R11" s="9">
        <v>14.8</v>
      </c>
      <c r="S11" s="9">
        <v>54</v>
      </c>
      <c r="T11" s="9">
        <f t="shared" si="2"/>
        <v>34.564864864864866</v>
      </c>
      <c r="U11" s="9">
        <v>20.8</v>
      </c>
      <c r="V11" s="9">
        <v>71</v>
      </c>
      <c r="W11" s="9">
        <f t="shared" si="5"/>
        <v>24.594230769230769</v>
      </c>
      <c r="X11" s="9" t="s">
        <v>16</v>
      </c>
      <c r="Y11" s="9" t="s">
        <v>16</v>
      </c>
      <c r="Z11" s="9">
        <f t="shared" si="6"/>
        <v>0</v>
      </c>
      <c r="AA11" s="9">
        <v>42.4</v>
      </c>
      <c r="AB11" s="9">
        <v>27</v>
      </c>
      <c r="AC11" s="9">
        <f>IFERROR( $D$20/AA11, 0)</f>
        <v>12.065094339622641</v>
      </c>
    </row>
    <row r="12" spans="2:29" x14ac:dyDescent="0.25">
      <c r="B12">
        <v>35</v>
      </c>
      <c r="C12">
        <v>33</v>
      </c>
      <c r="D12" s="6">
        <f t="shared" ref="D12:D13" si="9">ABS(C12-B12)</f>
        <v>2</v>
      </c>
      <c r="F12" s="9" t="s">
        <v>16</v>
      </c>
      <c r="G12" s="9" t="s">
        <v>16</v>
      </c>
      <c r="H12" s="9">
        <f t="shared" ref="H12:H13" si="10">IFERROR( $D$20/F12, 0)</f>
        <v>0</v>
      </c>
      <c r="I12" s="9" t="s">
        <v>16</v>
      </c>
      <c r="J12" s="9" t="s">
        <v>16</v>
      </c>
      <c r="K12" s="9">
        <f t="shared" ref="K12:K13" si="11">IFERROR( $D$20/I12, 0)</f>
        <v>0</v>
      </c>
      <c r="L12" s="9" t="s">
        <v>16</v>
      </c>
      <c r="M12" s="9" t="s">
        <v>16</v>
      </c>
      <c r="N12" s="9">
        <f t="shared" si="1"/>
        <v>0</v>
      </c>
      <c r="O12" s="9" t="s">
        <v>16</v>
      </c>
      <c r="P12" s="9" t="s">
        <v>16</v>
      </c>
      <c r="Q12" s="9">
        <f t="shared" ref="Q12:Q13" si="12">IFERROR( $D$20/O12, 0)</f>
        <v>0</v>
      </c>
      <c r="R12" s="9" t="s">
        <v>16</v>
      </c>
      <c r="S12" s="9" t="s">
        <v>16</v>
      </c>
      <c r="T12" s="9">
        <f t="shared" si="2"/>
        <v>0</v>
      </c>
      <c r="U12" s="11">
        <v>48.2</v>
      </c>
      <c r="V12" s="11">
        <v>70</v>
      </c>
      <c r="W12" s="9">
        <f t="shared" si="5"/>
        <v>10.613278008298755</v>
      </c>
      <c r="X12" s="9" t="s">
        <v>16</v>
      </c>
      <c r="Y12" s="9" t="s">
        <v>16</v>
      </c>
      <c r="Z12" s="9">
        <f t="shared" si="6"/>
        <v>0</v>
      </c>
      <c r="AA12" s="9" t="s">
        <v>16</v>
      </c>
      <c r="AB12" s="9" t="s">
        <v>16</v>
      </c>
      <c r="AC12" s="9">
        <f t="shared" ref="AC12:AC13" si="13">IFERROR( $D$20/AA12, 0)</f>
        <v>0</v>
      </c>
    </row>
    <row r="13" spans="2:29" x14ac:dyDescent="0.25">
      <c r="B13">
        <v>35</v>
      </c>
      <c r="C13">
        <v>34</v>
      </c>
      <c r="D13" s="6">
        <f t="shared" si="9"/>
        <v>1</v>
      </c>
      <c r="F13" s="9" t="s">
        <v>16</v>
      </c>
      <c r="G13" s="9" t="s">
        <v>16</v>
      </c>
      <c r="H13" s="9">
        <f t="shared" si="10"/>
        <v>0</v>
      </c>
      <c r="I13" s="9" t="s">
        <v>16</v>
      </c>
      <c r="J13" s="9" t="s">
        <v>16</v>
      </c>
      <c r="K13" s="9">
        <f t="shared" si="11"/>
        <v>0</v>
      </c>
      <c r="L13" s="9" t="s">
        <v>16</v>
      </c>
      <c r="M13" s="9" t="s">
        <v>16</v>
      </c>
      <c r="N13" s="9">
        <f t="shared" si="1"/>
        <v>0</v>
      </c>
      <c r="O13" s="9" t="s">
        <v>16</v>
      </c>
      <c r="P13" s="9" t="s">
        <v>16</v>
      </c>
      <c r="Q13" s="9">
        <f t="shared" si="12"/>
        <v>0</v>
      </c>
      <c r="R13" s="9" t="s">
        <v>16</v>
      </c>
      <c r="S13" s="9" t="s">
        <v>16</v>
      </c>
      <c r="T13" s="9">
        <f t="shared" si="2"/>
        <v>0</v>
      </c>
      <c r="U13" s="9" t="s">
        <v>16</v>
      </c>
      <c r="V13" s="9" t="s">
        <v>16</v>
      </c>
      <c r="W13" s="9">
        <f>IFERROR( $D$20/U13, 0)</f>
        <v>0</v>
      </c>
      <c r="X13" s="9" t="s">
        <v>16</v>
      </c>
      <c r="Y13" s="9" t="s">
        <v>16</v>
      </c>
      <c r="Z13" s="9">
        <f t="shared" si="6"/>
        <v>0</v>
      </c>
      <c r="AA13" s="9" t="s">
        <v>16</v>
      </c>
      <c r="AB13" s="9" t="s">
        <v>16</v>
      </c>
      <c r="AC13" s="9">
        <f t="shared" si="13"/>
        <v>0</v>
      </c>
    </row>
    <row r="16" spans="2:29" x14ac:dyDescent="0.25">
      <c r="B16" s="1" t="s">
        <v>17</v>
      </c>
    </row>
    <row r="17" spans="2:4" x14ac:dyDescent="0.25">
      <c r="B17" t="s">
        <v>18</v>
      </c>
    </row>
    <row r="19" spans="2:4" x14ac:dyDescent="0.25">
      <c r="B19" s="1" t="s">
        <v>19</v>
      </c>
      <c r="C19" s="1" t="s">
        <v>20</v>
      </c>
      <c r="D19" s="3" t="s">
        <v>21</v>
      </c>
    </row>
    <row r="20" spans="2:4" x14ac:dyDescent="0.25">
      <c r="B20">
        <f>(58*10^-6)</f>
        <v>5.8E-5</v>
      </c>
      <c r="C20">
        <v>4.2</v>
      </c>
      <c r="D20">
        <f>0.5*$B$20*(C20*C20)*10^6</f>
        <v>511.56</v>
      </c>
    </row>
    <row r="21" spans="2:4" x14ac:dyDescent="0.25">
      <c r="B21" t="s">
        <v>22</v>
      </c>
    </row>
    <row r="24" spans="2:4" x14ac:dyDescent="0.25">
      <c r="B24" s="1" t="s">
        <v>23</v>
      </c>
    </row>
    <row r="25" spans="2:4" x14ac:dyDescent="0.25">
      <c r="B25" s="2" t="s">
        <v>24</v>
      </c>
    </row>
    <row r="26" spans="2:4" x14ac:dyDescent="0.25">
      <c r="B26" s="2" t="s">
        <v>25</v>
      </c>
    </row>
    <row r="27" spans="2:4" x14ac:dyDescent="0.25">
      <c r="B27" s="2"/>
    </row>
    <row r="28" spans="2:4" x14ac:dyDescent="0.25">
      <c r="B28" s="2" t="s">
        <v>33</v>
      </c>
    </row>
    <row r="30" spans="2:4" x14ac:dyDescent="0.25">
      <c r="B30" s="1"/>
      <c r="C30" s="2"/>
    </row>
    <row r="31" spans="2:4" x14ac:dyDescent="0.25">
      <c r="B31" s="1" t="s">
        <v>13</v>
      </c>
      <c r="C31" s="2" t="s">
        <v>26</v>
      </c>
    </row>
    <row r="34" spans="2:2" x14ac:dyDescent="0.25">
      <c r="B34" t="s">
        <v>18</v>
      </c>
    </row>
  </sheetData>
  <mergeCells count="12">
    <mergeCell ref="B2:D2"/>
    <mergeCell ref="F2:H2"/>
    <mergeCell ref="I2:K2"/>
    <mergeCell ref="L2:N2"/>
    <mergeCell ref="O2:Q2"/>
    <mergeCell ref="X2:Z2"/>
    <mergeCell ref="AA2:AC2"/>
    <mergeCell ref="F1:W1"/>
    <mergeCell ref="X1:Z1"/>
    <mergeCell ref="AA1:AC1"/>
    <mergeCell ref="R2:T2"/>
    <mergeCell ref="U2:W2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EF74-DFBE-4C68-88AC-AE01B20B2A86}">
  <dimension ref="B1:AC34"/>
  <sheetViews>
    <sheetView zoomScaleNormal="100" workbookViewId="0">
      <selection activeCell="H4" sqref="H4"/>
    </sheetView>
  </sheetViews>
  <sheetFormatPr defaultRowHeight="15" x14ac:dyDescent="0.25"/>
  <cols>
    <col min="2" max="2" width="10" bestFit="1" customWidth="1"/>
    <col min="4" max="4" width="12.7109375" bestFit="1" customWidth="1"/>
    <col min="6" max="6" width="5.7109375" bestFit="1" customWidth="1"/>
    <col min="7" max="7" width="6.7109375" bestFit="1" customWidth="1"/>
    <col min="8" max="8" width="7.140625" bestFit="1" customWidth="1"/>
    <col min="9" max="9" width="5.7109375" bestFit="1" customWidth="1"/>
    <col min="10" max="10" width="5.7109375" customWidth="1"/>
    <col min="11" max="11" width="7.140625" bestFit="1" customWidth="1"/>
    <col min="12" max="12" width="5.7109375" bestFit="1" customWidth="1"/>
    <col min="13" max="13" width="6.7109375" bestFit="1" customWidth="1"/>
    <col min="14" max="14" width="7.140625" bestFit="1" customWidth="1"/>
    <col min="15" max="15" width="5.7109375" bestFit="1" customWidth="1"/>
    <col min="16" max="16" width="5.7109375" customWidth="1"/>
    <col min="17" max="17" width="7.140625" bestFit="1" customWidth="1"/>
    <col min="18" max="23" width="7.140625" customWidth="1"/>
    <col min="24" max="24" width="7" bestFit="1" customWidth="1"/>
    <col min="25" max="25" width="7" customWidth="1"/>
    <col min="26" max="26" width="7.140625" bestFit="1" customWidth="1"/>
    <col min="27" max="27" width="7" bestFit="1" customWidth="1"/>
    <col min="28" max="28" width="7" customWidth="1"/>
    <col min="29" max="29" width="7.140625" bestFit="1" customWidth="1"/>
  </cols>
  <sheetData>
    <row r="1" spans="2:29" x14ac:dyDescent="0.25">
      <c r="F1" s="12" t="s">
        <v>0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 t="s">
        <v>1</v>
      </c>
      <c r="Y1" s="12"/>
      <c r="Z1" s="12"/>
      <c r="AA1" s="12" t="s">
        <v>2</v>
      </c>
      <c r="AB1" s="12"/>
      <c r="AC1" s="12"/>
    </row>
    <row r="2" spans="2:29" x14ac:dyDescent="0.25">
      <c r="B2" s="12" t="s">
        <v>3</v>
      </c>
      <c r="C2" s="12"/>
      <c r="D2" s="12"/>
      <c r="F2" s="14" t="s">
        <v>4</v>
      </c>
      <c r="G2" s="14"/>
      <c r="H2" s="14"/>
      <c r="I2" s="14" t="s">
        <v>5</v>
      </c>
      <c r="J2" s="14"/>
      <c r="K2" s="14"/>
      <c r="L2" s="14" t="s">
        <v>6</v>
      </c>
      <c r="M2" s="14"/>
      <c r="N2" s="14"/>
      <c r="O2" s="14" t="s">
        <v>7</v>
      </c>
      <c r="P2" s="14"/>
      <c r="Q2" s="14"/>
      <c r="R2" s="14" t="s">
        <v>8</v>
      </c>
      <c r="S2" s="14"/>
      <c r="T2" s="14"/>
      <c r="U2" s="14" t="s">
        <v>9</v>
      </c>
      <c r="V2" s="14"/>
      <c r="W2" s="14"/>
      <c r="X2" s="14" t="s">
        <v>4</v>
      </c>
      <c r="Y2" s="14"/>
      <c r="Z2" s="14"/>
      <c r="AA2" s="14" t="s">
        <v>4</v>
      </c>
      <c r="AB2" s="14"/>
      <c r="AC2" s="14"/>
    </row>
    <row r="3" spans="2:29" x14ac:dyDescent="0.25">
      <c r="B3" s="4" t="s">
        <v>10</v>
      </c>
      <c r="C3" s="4" t="s">
        <v>11</v>
      </c>
      <c r="D3" s="3" t="s">
        <v>12</v>
      </c>
      <c r="F3" s="5" t="s">
        <v>13</v>
      </c>
      <c r="G3" s="5" t="s">
        <v>14</v>
      </c>
      <c r="H3" s="5" t="s">
        <v>15</v>
      </c>
      <c r="I3" s="5" t="s">
        <v>13</v>
      </c>
      <c r="J3" s="5" t="s">
        <v>14</v>
      </c>
      <c r="K3" s="5" t="s">
        <v>15</v>
      </c>
      <c r="L3" s="5" t="s">
        <v>13</v>
      </c>
      <c r="M3" s="5" t="s">
        <v>14</v>
      </c>
      <c r="N3" s="5" t="s">
        <v>15</v>
      </c>
      <c r="O3" s="5" t="s">
        <v>13</v>
      </c>
      <c r="P3" s="5" t="s">
        <v>14</v>
      </c>
      <c r="Q3" s="5" t="s">
        <v>15</v>
      </c>
      <c r="R3" s="5" t="s">
        <v>13</v>
      </c>
      <c r="S3" s="5" t="s">
        <v>14</v>
      </c>
      <c r="T3" s="5" t="s">
        <v>15</v>
      </c>
      <c r="U3" s="5" t="s">
        <v>13</v>
      </c>
      <c r="V3" s="5" t="s">
        <v>14</v>
      </c>
      <c r="W3" s="5" t="s">
        <v>15</v>
      </c>
      <c r="X3" s="5" t="s">
        <v>13</v>
      </c>
      <c r="Y3" s="5" t="s">
        <v>14</v>
      </c>
      <c r="Z3" s="5" t="s">
        <v>15</v>
      </c>
      <c r="AA3" s="5" t="s">
        <v>13</v>
      </c>
      <c r="AB3" s="5" t="s">
        <v>14</v>
      </c>
      <c r="AC3" s="5" t="s">
        <v>15</v>
      </c>
    </row>
    <row r="4" spans="2:29" x14ac:dyDescent="0.25">
      <c r="B4">
        <v>35</v>
      </c>
      <c r="C4">
        <v>20</v>
      </c>
      <c r="D4" s="6">
        <f t="shared" ref="D4:D10" si="0">ABS(C4-B4)</f>
        <v>15</v>
      </c>
      <c r="F4" s="9">
        <v>4.5</v>
      </c>
      <c r="G4" s="9">
        <v>13</v>
      </c>
      <c r="H4" s="9">
        <f>IFERROR( $D$20/F4, 0)</f>
        <v>39.148388888888888</v>
      </c>
      <c r="I4" s="9">
        <v>3.39</v>
      </c>
      <c r="J4" s="9" t="s">
        <v>16</v>
      </c>
      <c r="K4" s="9">
        <f>IFERROR( $D$20/I4, 0)</f>
        <v>51.966887905604722</v>
      </c>
      <c r="L4" s="11">
        <v>2.75</v>
      </c>
      <c r="M4" s="11">
        <v>32</v>
      </c>
      <c r="N4" s="9">
        <f t="shared" ref="N4:N13" si="1">IFERROR( $D$20/L4, 0)</f>
        <v>64.061000000000007</v>
      </c>
      <c r="O4" s="9">
        <v>4.78</v>
      </c>
      <c r="P4" s="9">
        <v>48</v>
      </c>
      <c r="Q4" s="9">
        <f>IFERROR( $D$20/O4, 0)</f>
        <v>36.855177824267784</v>
      </c>
      <c r="R4" s="9">
        <v>3.44</v>
      </c>
      <c r="S4" s="9">
        <v>63</v>
      </c>
      <c r="T4" s="9">
        <f t="shared" ref="T4:T13" si="2">IFERROR( $D$20/R4, 0)</f>
        <v>51.21155523255814</v>
      </c>
      <c r="U4" s="9">
        <v>1.74</v>
      </c>
      <c r="V4" s="9">
        <v>79</v>
      </c>
      <c r="W4" s="9">
        <f t="shared" ref="W4:W13" si="3">IFERROR( $D$20/U4, 0)</f>
        <v>101.24583333333334</v>
      </c>
      <c r="X4" s="9">
        <v>6.14</v>
      </c>
      <c r="Y4" s="9">
        <v>6</v>
      </c>
      <c r="Z4" s="9">
        <f>IFERROR( $D$20/X4, 0)</f>
        <v>28.691815960912056</v>
      </c>
      <c r="AA4" s="9">
        <v>3.76</v>
      </c>
      <c r="AB4" s="9">
        <v>14</v>
      </c>
      <c r="AC4" s="9">
        <f>IFERROR( $D$20/AA4, 0)</f>
        <v>46.853125000000006</v>
      </c>
    </row>
    <row r="5" spans="2:29" x14ac:dyDescent="0.25">
      <c r="B5">
        <v>35</v>
      </c>
      <c r="C5">
        <v>22</v>
      </c>
      <c r="D5" s="6">
        <f t="shared" si="0"/>
        <v>13</v>
      </c>
      <c r="F5" s="9">
        <v>5.58</v>
      </c>
      <c r="G5" s="9">
        <v>12</v>
      </c>
      <c r="H5" s="9">
        <f t="shared" ref="H4:H11" si="4">IFERROR( $D$20/F5, 0)</f>
        <v>31.57128136200717</v>
      </c>
      <c r="I5" s="9">
        <v>4.2</v>
      </c>
      <c r="J5" s="9">
        <v>26</v>
      </c>
      <c r="K5" s="9">
        <f t="shared" ref="K5:K10" si="5">IFERROR( $D$20/I5, 0)</f>
        <v>41.944702380952386</v>
      </c>
      <c r="L5" s="9">
        <v>3.48</v>
      </c>
      <c r="M5" s="9">
        <v>31</v>
      </c>
      <c r="N5" s="9">
        <f t="shared" si="1"/>
        <v>50.622916666666669</v>
      </c>
      <c r="O5" s="9">
        <v>5.74</v>
      </c>
      <c r="P5" s="9">
        <v>49</v>
      </c>
      <c r="Q5" s="9">
        <f t="shared" ref="Q5:Q13" si="6">IFERROR( $D$20/O5, 0)</f>
        <v>30.691245644599306</v>
      </c>
      <c r="R5" s="9">
        <v>4.12</v>
      </c>
      <c r="S5" s="9">
        <v>64</v>
      </c>
      <c r="T5" s="9">
        <f t="shared" si="2"/>
        <v>42.759162621359224</v>
      </c>
      <c r="U5" s="9">
        <v>2.2000000000000002</v>
      </c>
      <c r="V5" s="9">
        <v>80</v>
      </c>
      <c r="W5" s="9">
        <f t="shared" si="3"/>
        <v>80.076250000000002</v>
      </c>
      <c r="X5" s="9">
        <v>8.0399999999999991</v>
      </c>
      <c r="Y5" s="9">
        <v>5</v>
      </c>
      <c r="Z5" s="9">
        <f>IFERROR( $D$20/X5, 0)</f>
        <v>21.911411691542291</v>
      </c>
      <c r="AA5" s="9">
        <v>4.34</v>
      </c>
      <c r="AB5" s="9">
        <v>15</v>
      </c>
      <c r="AC5" s="9">
        <f t="shared" ref="AC5:AC13" si="7">IFERROR( $D$20/AA5, 0)</f>
        <v>40.591647465437795</v>
      </c>
    </row>
    <row r="6" spans="2:29" x14ac:dyDescent="0.25">
      <c r="B6">
        <v>35</v>
      </c>
      <c r="C6">
        <v>24</v>
      </c>
      <c r="D6" s="6">
        <f t="shared" si="0"/>
        <v>11</v>
      </c>
      <c r="F6" s="9">
        <v>7.76</v>
      </c>
      <c r="G6" s="9">
        <v>11</v>
      </c>
      <c r="H6" s="9">
        <f t="shared" si="4"/>
        <v>22.702029639175262</v>
      </c>
      <c r="I6" s="9">
        <v>5.62</v>
      </c>
      <c r="J6" s="9">
        <v>24</v>
      </c>
      <c r="K6" s="9">
        <f t="shared" si="5"/>
        <v>31.346574733096087</v>
      </c>
      <c r="L6" s="9">
        <v>4.5999999999999996</v>
      </c>
      <c r="M6" s="11">
        <v>30</v>
      </c>
      <c r="N6" s="9">
        <f t="shared" si="1"/>
        <v>38.297336956521747</v>
      </c>
      <c r="O6" s="9">
        <v>7.16</v>
      </c>
      <c r="P6" s="9">
        <v>50</v>
      </c>
      <c r="Q6" s="9">
        <f t="shared" si="6"/>
        <v>24.604434357541901</v>
      </c>
      <c r="R6" s="9">
        <v>4.88</v>
      </c>
      <c r="S6" s="9">
        <v>65</v>
      </c>
      <c r="T6" s="9">
        <f t="shared" si="2"/>
        <v>36.099948770491807</v>
      </c>
      <c r="U6" s="9">
        <v>3.03</v>
      </c>
      <c r="V6" s="9">
        <v>81</v>
      </c>
      <c r="W6" s="9">
        <f t="shared" si="3"/>
        <v>58.141171617161724</v>
      </c>
      <c r="X6" s="9">
        <v>11.64</v>
      </c>
      <c r="Y6" s="9">
        <v>4</v>
      </c>
      <c r="Z6" s="9">
        <f t="shared" ref="Z5:Z10" si="8">IFERROR( $D$20/X6, 0)</f>
        <v>15.134686426116838</v>
      </c>
      <c r="AA6" s="9">
        <v>5.66</v>
      </c>
      <c r="AB6" s="9">
        <v>16</v>
      </c>
      <c r="AC6" s="9">
        <f t="shared" si="7"/>
        <v>31.125044169611307</v>
      </c>
    </row>
    <row r="7" spans="2:29" x14ac:dyDescent="0.25">
      <c r="B7">
        <v>35</v>
      </c>
      <c r="C7">
        <v>26</v>
      </c>
      <c r="D7" s="6">
        <f t="shared" si="0"/>
        <v>9</v>
      </c>
      <c r="F7" s="9">
        <v>10.52</v>
      </c>
      <c r="G7" s="9">
        <v>9</v>
      </c>
      <c r="H7" s="9">
        <f t="shared" si="4"/>
        <v>16.745983840304184</v>
      </c>
      <c r="I7" s="9">
        <v>8.64</v>
      </c>
      <c r="J7" s="9">
        <v>23</v>
      </c>
      <c r="K7" s="9">
        <f t="shared" si="5"/>
        <v>20.389785879629631</v>
      </c>
      <c r="L7" s="9">
        <v>6.4</v>
      </c>
      <c r="M7" s="9">
        <v>29</v>
      </c>
      <c r="N7" s="9">
        <f t="shared" si="1"/>
        <v>27.5262109375</v>
      </c>
      <c r="O7" s="9">
        <v>10.44</v>
      </c>
      <c r="P7" s="9">
        <v>51</v>
      </c>
      <c r="Q7" s="9">
        <f t="shared" si="6"/>
        <v>16.874305555555559</v>
      </c>
      <c r="R7" s="9">
        <v>6.8</v>
      </c>
      <c r="S7" s="9">
        <v>66</v>
      </c>
      <c r="T7" s="9">
        <f t="shared" si="2"/>
        <v>25.907022058823532</v>
      </c>
      <c r="U7" s="9">
        <v>4.32</v>
      </c>
      <c r="V7" s="9">
        <v>82</v>
      </c>
      <c r="W7" s="9">
        <f t="shared" si="3"/>
        <v>40.779571759259262</v>
      </c>
      <c r="X7" s="9">
        <v>16.8</v>
      </c>
      <c r="Y7" s="9">
        <v>3</v>
      </c>
      <c r="Z7" s="9">
        <f t="shared" si="8"/>
        <v>10.486175595238096</v>
      </c>
      <c r="AA7" s="9">
        <v>8.44</v>
      </c>
      <c r="AB7" s="9">
        <v>17</v>
      </c>
      <c r="AC7" s="9">
        <f t="shared" si="7"/>
        <v>20.872956161137445</v>
      </c>
    </row>
    <row r="8" spans="2:29" x14ac:dyDescent="0.25">
      <c r="B8">
        <v>35</v>
      </c>
      <c r="C8">
        <v>28</v>
      </c>
      <c r="D8" s="6">
        <f t="shared" si="0"/>
        <v>7</v>
      </c>
      <c r="F8" s="9">
        <v>25</v>
      </c>
      <c r="G8" s="9">
        <v>10</v>
      </c>
      <c r="H8" s="9">
        <f>IFERROR( $D$20/F8, 0)</f>
        <v>7.0467100000000009</v>
      </c>
      <c r="I8" s="9">
        <v>15</v>
      </c>
      <c r="J8" s="9">
        <v>22</v>
      </c>
      <c r="K8" s="9">
        <f t="shared" si="5"/>
        <v>11.744516666666668</v>
      </c>
      <c r="L8" s="9">
        <v>11.76</v>
      </c>
      <c r="M8" s="9">
        <v>28</v>
      </c>
      <c r="N8" s="9">
        <f t="shared" si="1"/>
        <v>14.980250850340138</v>
      </c>
      <c r="O8" s="9">
        <v>18.36</v>
      </c>
      <c r="P8" s="9">
        <v>52</v>
      </c>
      <c r="Q8" s="9">
        <f t="shared" si="6"/>
        <v>9.595193355119827</v>
      </c>
      <c r="R8" s="9">
        <v>10.66</v>
      </c>
      <c r="S8" s="9">
        <v>67</v>
      </c>
      <c r="T8" s="9">
        <f>IFERROR( $D$20/R8, 0)</f>
        <v>16.526055347091933</v>
      </c>
      <c r="U8" s="9">
        <v>6.24</v>
      </c>
      <c r="V8" s="9">
        <v>83</v>
      </c>
      <c r="W8" s="9">
        <f>IFERROR( $D$20/U8, 0)</f>
        <v>28.23201121794872</v>
      </c>
      <c r="X8" s="9">
        <v>39.6</v>
      </c>
      <c r="Y8" s="9">
        <v>2</v>
      </c>
      <c r="Z8" s="9">
        <f t="shared" si="8"/>
        <v>4.4486805555555557</v>
      </c>
      <c r="AA8" s="9">
        <v>13.4</v>
      </c>
      <c r="AB8" s="9">
        <v>18</v>
      </c>
      <c r="AC8" s="9">
        <f t="shared" si="7"/>
        <v>13.146847014925374</v>
      </c>
    </row>
    <row r="9" spans="2:29" x14ac:dyDescent="0.25">
      <c r="B9">
        <v>35</v>
      </c>
      <c r="C9">
        <v>30</v>
      </c>
      <c r="D9" s="6">
        <f t="shared" si="0"/>
        <v>5</v>
      </c>
      <c r="F9" s="9" t="s">
        <v>16</v>
      </c>
      <c r="G9" s="9" t="s">
        <v>16</v>
      </c>
      <c r="H9" s="9">
        <f>IFERROR( $D$20/F9, 0)</f>
        <v>0</v>
      </c>
      <c r="I9" s="9">
        <v>25.1</v>
      </c>
      <c r="J9" s="9" t="s">
        <v>16</v>
      </c>
      <c r="K9" s="9">
        <f>IFERROR( $D$20/I9, 0)</f>
        <v>7.0186354581673305</v>
      </c>
      <c r="L9" s="11">
        <v>35</v>
      </c>
      <c r="M9" s="11">
        <v>27</v>
      </c>
      <c r="N9" s="9">
        <f>IFERROR( $D$20/L9, 0)</f>
        <v>5.0333642857142857</v>
      </c>
      <c r="O9" s="9">
        <v>74.8</v>
      </c>
      <c r="P9" s="9">
        <v>53</v>
      </c>
      <c r="Q9" s="9">
        <f>IFERROR( $D$20/O9, 0)</f>
        <v>2.355183823529412</v>
      </c>
      <c r="R9" s="9">
        <v>25.6</v>
      </c>
      <c r="S9" s="9">
        <v>68</v>
      </c>
      <c r="T9" s="9">
        <f t="shared" si="2"/>
        <v>6.881552734375</v>
      </c>
      <c r="U9" s="9">
        <v>14.32</v>
      </c>
      <c r="V9" s="9" t="s">
        <v>16</v>
      </c>
      <c r="W9" s="9">
        <f t="shared" si="3"/>
        <v>12.302217178770951</v>
      </c>
      <c r="X9" s="9" t="s">
        <v>16</v>
      </c>
      <c r="Y9" s="9" t="s">
        <v>16</v>
      </c>
      <c r="Z9" s="9">
        <f t="shared" si="8"/>
        <v>0</v>
      </c>
      <c r="AA9" s="9">
        <v>72.8</v>
      </c>
      <c r="AB9" s="9">
        <v>19</v>
      </c>
      <c r="AC9" s="9">
        <f t="shared" si="7"/>
        <v>2.4198866758241762</v>
      </c>
    </row>
    <row r="10" spans="2:29" x14ac:dyDescent="0.25">
      <c r="B10">
        <v>35</v>
      </c>
      <c r="C10">
        <v>31</v>
      </c>
      <c r="D10" s="6">
        <f t="shared" si="0"/>
        <v>4</v>
      </c>
      <c r="F10" s="9" t="s">
        <v>16</v>
      </c>
      <c r="G10" s="9" t="s">
        <v>16</v>
      </c>
      <c r="H10" s="9">
        <f>IFERROR( $D$20/F10, 0)</f>
        <v>0</v>
      </c>
      <c r="I10" s="9" t="s">
        <v>16</v>
      </c>
      <c r="J10" s="9" t="s">
        <v>16</v>
      </c>
      <c r="K10" s="9">
        <f>IFERROR( $D$20/I10, 0)</f>
        <v>0</v>
      </c>
      <c r="L10" s="9" t="s">
        <v>16</v>
      </c>
      <c r="M10" s="9" t="s">
        <v>16</v>
      </c>
      <c r="N10" s="9">
        <f t="shared" si="1"/>
        <v>0</v>
      </c>
      <c r="O10" s="9" t="s">
        <v>16</v>
      </c>
      <c r="P10" s="9" t="s">
        <v>16</v>
      </c>
      <c r="Q10" s="9">
        <f t="shared" si="6"/>
        <v>0</v>
      </c>
      <c r="R10" s="9">
        <v>66.599999999999994</v>
      </c>
      <c r="S10" s="9">
        <v>69</v>
      </c>
      <c r="T10" s="9">
        <f t="shared" si="2"/>
        <v>2.6451614114114119</v>
      </c>
      <c r="U10" s="9">
        <v>27.3</v>
      </c>
      <c r="V10" s="9">
        <v>1</v>
      </c>
      <c r="W10" s="9">
        <f t="shared" si="3"/>
        <v>6.4530311355311358</v>
      </c>
      <c r="X10" s="9" t="s">
        <v>16</v>
      </c>
      <c r="Y10" s="9" t="s">
        <v>16</v>
      </c>
      <c r="Z10" s="9">
        <f t="shared" ref="Z10:Z13" si="9">IFERROR( $D$20/X10, 0)</f>
        <v>0</v>
      </c>
      <c r="AA10" s="9" t="s">
        <v>16</v>
      </c>
      <c r="AB10" s="9" t="s">
        <v>16</v>
      </c>
      <c r="AC10" s="9">
        <f t="shared" si="7"/>
        <v>0</v>
      </c>
    </row>
    <row r="11" spans="2:29" x14ac:dyDescent="0.25">
      <c r="B11">
        <v>35</v>
      </c>
      <c r="C11">
        <v>32</v>
      </c>
      <c r="D11" s="6">
        <f>ABS(C11-B11)</f>
        <v>3</v>
      </c>
      <c r="F11" s="9" t="s">
        <v>16</v>
      </c>
      <c r="G11" s="9" t="s">
        <v>16</v>
      </c>
      <c r="H11" s="9">
        <f>IFERROR( $D$20/F11, 0)</f>
        <v>0</v>
      </c>
      <c r="I11" s="9" t="s">
        <v>16</v>
      </c>
      <c r="J11" s="9" t="s">
        <v>16</v>
      </c>
      <c r="K11" s="9">
        <f>IFERROR( $D$20/I11, 0)</f>
        <v>0</v>
      </c>
      <c r="L11" s="9" t="s">
        <v>16</v>
      </c>
      <c r="M11" s="9" t="s">
        <v>16</v>
      </c>
      <c r="N11" s="9">
        <f t="shared" si="1"/>
        <v>0</v>
      </c>
      <c r="O11" s="9" t="s">
        <v>16</v>
      </c>
      <c r="P11" s="9" t="s">
        <v>16</v>
      </c>
      <c r="Q11" s="9">
        <f t="shared" si="6"/>
        <v>0</v>
      </c>
      <c r="R11" s="9" t="s">
        <v>16</v>
      </c>
      <c r="S11" s="9" t="s">
        <v>16</v>
      </c>
      <c r="T11" s="9">
        <f t="shared" si="2"/>
        <v>0</v>
      </c>
      <c r="U11" s="9" t="s">
        <v>16</v>
      </c>
      <c r="V11" s="9" t="s">
        <v>16</v>
      </c>
      <c r="W11" s="9">
        <f t="shared" si="3"/>
        <v>0</v>
      </c>
      <c r="X11" s="9" t="s">
        <v>16</v>
      </c>
      <c r="Y11" s="9" t="s">
        <v>16</v>
      </c>
      <c r="Z11" s="9">
        <f t="shared" si="9"/>
        <v>0</v>
      </c>
      <c r="AA11" s="9" t="s">
        <v>16</v>
      </c>
      <c r="AB11" s="9" t="s">
        <v>16</v>
      </c>
      <c r="AC11" s="9">
        <f t="shared" si="7"/>
        <v>0</v>
      </c>
    </row>
    <row r="12" spans="2:29" x14ac:dyDescent="0.25">
      <c r="B12">
        <v>35</v>
      </c>
      <c r="C12">
        <v>33</v>
      </c>
      <c r="D12" s="6">
        <f t="shared" ref="D12:D13" si="10">ABS(C12-B12)</f>
        <v>2</v>
      </c>
      <c r="F12" s="9" t="s">
        <v>16</v>
      </c>
      <c r="G12" s="9" t="s">
        <v>16</v>
      </c>
      <c r="H12" s="9">
        <f>IFERROR( $D$20/F12, 0)</f>
        <v>0</v>
      </c>
      <c r="I12" s="9" t="s">
        <v>16</v>
      </c>
      <c r="J12" s="9" t="s">
        <v>16</v>
      </c>
      <c r="K12" s="9">
        <f>IFERROR( $D$20/I12, 0)</f>
        <v>0</v>
      </c>
      <c r="L12" s="9" t="s">
        <v>16</v>
      </c>
      <c r="M12" s="9" t="s">
        <v>16</v>
      </c>
      <c r="N12" s="9">
        <f t="shared" si="1"/>
        <v>0</v>
      </c>
      <c r="O12" s="9" t="s">
        <v>16</v>
      </c>
      <c r="P12" s="9" t="s">
        <v>16</v>
      </c>
      <c r="Q12" s="9">
        <f t="shared" si="6"/>
        <v>0</v>
      </c>
      <c r="R12" s="9" t="s">
        <v>16</v>
      </c>
      <c r="S12" s="9" t="s">
        <v>16</v>
      </c>
      <c r="T12" s="9">
        <f t="shared" si="2"/>
        <v>0</v>
      </c>
      <c r="U12" s="9" t="s">
        <v>16</v>
      </c>
      <c r="V12" s="9" t="s">
        <v>16</v>
      </c>
      <c r="W12" s="9">
        <f t="shared" si="3"/>
        <v>0</v>
      </c>
      <c r="X12" s="9" t="s">
        <v>16</v>
      </c>
      <c r="Y12" s="9" t="s">
        <v>16</v>
      </c>
      <c r="Z12" s="9">
        <f t="shared" si="9"/>
        <v>0</v>
      </c>
      <c r="AA12" s="9" t="s">
        <v>16</v>
      </c>
      <c r="AB12" s="9" t="s">
        <v>16</v>
      </c>
      <c r="AC12" s="9">
        <f t="shared" si="7"/>
        <v>0</v>
      </c>
    </row>
    <row r="13" spans="2:29" x14ac:dyDescent="0.25">
      <c r="B13">
        <v>35</v>
      </c>
      <c r="C13">
        <v>34</v>
      </c>
      <c r="D13" s="6">
        <f>ABS(C13-B13)</f>
        <v>1</v>
      </c>
      <c r="F13" s="9" t="s">
        <v>16</v>
      </c>
      <c r="G13" s="9" t="s">
        <v>16</v>
      </c>
      <c r="H13" s="9">
        <f>IFERROR( $D$20/F13, 0)</f>
        <v>0</v>
      </c>
      <c r="I13" s="9" t="s">
        <v>16</v>
      </c>
      <c r="J13" s="9" t="s">
        <v>16</v>
      </c>
      <c r="K13" s="9">
        <f>IFERROR( $D$20/I13, 0)</f>
        <v>0</v>
      </c>
      <c r="L13" s="9" t="s">
        <v>16</v>
      </c>
      <c r="M13" s="9" t="s">
        <v>16</v>
      </c>
      <c r="N13" s="9">
        <f t="shared" si="1"/>
        <v>0</v>
      </c>
      <c r="O13" s="9" t="s">
        <v>16</v>
      </c>
      <c r="P13" s="9" t="s">
        <v>16</v>
      </c>
      <c r="Q13" s="9">
        <f t="shared" si="6"/>
        <v>0</v>
      </c>
      <c r="R13" s="9" t="s">
        <v>16</v>
      </c>
      <c r="S13" s="9" t="s">
        <v>16</v>
      </c>
      <c r="T13" s="9">
        <f t="shared" si="2"/>
        <v>0</v>
      </c>
      <c r="U13" s="9" t="s">
        <v>16</v>
      </c>
      <c r="V13" s="9" t="s">
        <v>16</v>
      </c>
      <c r="W13" s="9">
        <f t="shared" si="3"/>
        <v>0</v>
      </c>
      <c r="X13" s="9" t="s">
        <v>16</v>
      </c>
      <c r="Y13" s="9" t="s">
        <v>16</v>
      </c>
      <c r="Z13" s="9">
        <f t="shared" si="9"/>
        <v>0</v>
      </c>
      <c r="AA13" s="9" t="s">
        <v>16</v>
      </c>
      <c r="AB13" s="9" t="s">
        <v>16</v>
      </c>
      <c r="AC13" s="9">
        <f t="shared" si="7"/>
        <v>0</v>
      </c>
    </row>
    <row r="16" spans="2:29" x14ac:dyDescent="0.25">
      <c r="B16" s="1" t="s">
        <v>17</v>
      </c>
    </row>
    <row r="17" spans="2:4" x14ac:dyDescent="0.25">
      <c r="B17" t="s">
        <v>18</v>
      </c>
    </row>
    <row r="19" spans="2:4" x14ac:dyDescent="0.25">
      <c r="B19" s="1" t="s">
        <v>19</v>
      </c>
      <c r="C19" s="1" t="s">
        <v>20</v>
      </c>
      <c r="D19" s="3" t="s">
        <v>21</v>
      </c>
    </row>
    <row r="20" spans="2:4" x14ac:dyDescent="0.25">
      <c r="B20">
        <f>(63.8*10^-6)</f>
        <v>6.3799999999999992E-5</v>
      </c>
      <c r="C20">
        <v>2.35</v>
      </c>
      <c r="D20">
        <f>0.5*$B$20*(C20*C20)*10^6</f>
        <v>176.16775000000001</v>
      </c>
    </row>
    <row r="24" spans="2:4" x14ac:dyDescent="0.25">
      <c r="B24" s="1" t="s">
        <v>23</v>
      </c>
    </row>
    <row r="25" spans="2:4" x14ac:dyDescent="0.25">
      <c r="B25" s="2" t="s">
        <v>24</v>
      </c>
    </row>
    <row r="26" spans="2:4" x14ac:dyDescent="0.25">
      <c r="B26" s="2" t="s">
        <v>27</v>
      </c>
    </row>
    <row r="27" spans="2:4" x14ac:dyDescent="0.25">
      <c r="B27" s="2"/>
    </row>
    <row r="28" spans="2:4" x14ac:dyDescent="0.25">
      <c r="B28" s="2" t="s">
        <v>28</v>
      </c>
    </row>
    <row r="29" spans="2:4" x14ac:dyDescent="0.25">
      <c r="B29" s="2" t="s">
        <v>29</v>
      </c>
    </row>
    <row r="30" spans="2:4" x14ac:dyDescent="0.25">
      <c r="B30" s="1"/>
      <c r="C30" s="2"/>
    </row>
    <row r="31" spans="2:4" x14ac:dyDescent="0.25">
      <c r="B31" s="1" t="s">
        <v>13</v>
      </c>
      <c r="C31" s="2" t="s">
        <v>26</v>
      </c>
    </row>
    <row r="34" spans="2:2" x14ac:dyDescent="0.25">
      <c r="B34" t="s">
        <v>18</v>
      </c>
    </row>
  </sheetData>
  <mergeCells count="12">
    <mergeCell ref="B2:D2"/>
    <mergeCell ref="F2:H2"/>
    <mergeCell ref="I2:K2"/>
    <mergeCell ref="L2:N2"/>
    <mergeCell ref="O2:Q2"/>
    <mergeCell ref="X2:Z2"/>
    <mergeCell ref="AA2:AC2"/>
    <mergeCell ref="F1:W1"/>
    <mergeCell ref="X1:Z1"/>
    <mergeCell ref="AA1:AC1"/>
    <mergeCell ref="R2:T2"/>
    <mergeCell ref="U2:W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Overview and Setup</vt:lpstr>
      <vt:lpstr>MRCY12</vt:lpstr>
      <vt:lpstr>LTC3108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Peppelman</dc:creator>
  <cp:lastModifiedBy>Christian Peppelman</cp:lastModifiedBy>
  <dcterms:created xsi:type="dcterms:W3CDTF">2015-06-05T18:19:34Z</dcterms:created>
  <dcterms:modified xsi:type="dcterms:W3CDTF">2023-09-07T12:38:37Z</dcterms:modified>
</cp:coreProperties>
</file>