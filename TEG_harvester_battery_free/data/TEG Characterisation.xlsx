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peppe\Documents\School\TU - Delft\ET4399 - Dental Sensor\Thesis\Data\"/>
    </mc:Choice>
  </mc:AlternateContent>
  <xr:revisionPtr revIDLastSave="0" documentId="13_ncr:1_{D05E3115-5FC0-4947-9A43-A5176EA0A1D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verview and Setup" sheetId="1" r:id="rId1"/>
    <sheet name="1S CP07" sheetId="2" r:id="rId2"/>
    <sheet name="1S CP10" sheetId="3" r:id="rId3"/>
    <sheet name="1S MGM250" sheetId="6" r:id="rId4"/>
    <sheet name="1S 1MD04" sheetId="4" r:id="rId5"/>
    <sheet name="1S 1MD06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O3" i="2"/>
  <c r="P3" i="2" l="1"/>
  <c r="N3" i="2"/>
  <c r="L11" i="1"/>
  <c r="H13" i="1"/>
  <c r="H12" i="1"/>
  <c r="H11" i="1"/>
  <c r="H10" i="1"/>
  <c r="H9" i="1"/>
  <c r="B29" i="5" a="1"/>
  <c r="B29" i="5" s="1"/>
  <c r="B29" i="4" a="1"/>
  <c r="B29" i="4" s="1"/>
  <c r="B29" i="6" a="1"/>
  <c r="B29" i="6" s="1"/>
  <c r="B29" i="3" a="1"/>
  <c r="B29" i="3" s="1"/>
  <c r="B29" i="2" a="1"/>
  <c r="B29" i="2" s="1"/>
  <c r="J13" i="1"/>
  <c r="J12" i="1"/>
  <c r="J11" i="1"/>
  <c r="J9" i="1"/>
  <c r="L10" i="1"/>
  <c r="L12" i="1"/>
  <c r="J10" i="1"/>
  <c r="M12" i="6"/>
  <c r="N12" i="6" s="1"/>
  <c r="P12" i="6" s="1"/>
  <c r="H12" i="6"/>
  <c r="D12" i="6"/>
  <c r="M11" i="6"/>
  <c r="N11" i="6" s="1"/>
  <c r="P11" i="6" s="1"/>
  <c r="H11" i="6"/>
  <c r="D11" i="6"/>
  <c r="M10" i="6"/>
  <c r="N10" i="6" s="1"/>
  <c r="P10" i="6" s="1"/>
  <c r="H10" i="6"/>
  <c r="D10" i="6"/>
  <c r="M9" i="6"/>
  <c r="O9" i="6" s="1"/>
  <c r="H9" i="6"/>
  <c r="D9" i="6"/>
  <c r="O8" i="6"/>
  <c r="M8" i="6"/>
  <c r="N8" i="6" s="1"/>
  <c r="P8" i="6" s="1"/>
  <c r="H8" i="6"/>
  <c r="D8" i="6"/>
  <c r="M7" i="6"/>
  <c r="N7" i="6" s="1"/>
  <c r="P7" i="6" s="1"/>
  <c r="H7" i="6"/>
  <c r="D7" i="6"/>
  <c r="M6" i="6"/>
  <c r="O6" i="6" s="1"/>
  <c r="H6" i="6"/>
  <c r="D6" i="6"/>
  <c r="M5" i="6"/>
  <c r="O5" i="6" s="1"/>
  <c r="H5" i="6"/>
  <c r="D5" i="6"/>
  <c r="O4" i="6"/>
  <c r="M4" i="6"/>
  <c r="N4" i="6" s="1"/>
  <c r="P4" i="6" s="1"/>
  <c r="H4" i="6"/>
  <c r="D4" i="6"/>
  <c r="M3" i="6"/>
  <c r="N3" i="6" s="1"/>
  <c r="P3" i="6" s="1"/>
  <c r="H3" i="6"/>
  <c r="D3" i="6"/>
  <c r="O11" i="6" l="1"/>
  <c r="O12" i="6"/>
  <c r="N6" i="6"/>
  <c r="P6" i="6" s="1"/>
  <c r="O10" i="6"/>
  <c r="N5" i="6"/>
  <c r="P5" i="6" s="1"/>
  <c r="N9" i="6"/>
  <c r="P9" i="6" s="1"/>
  <c r="O3" i="6"/>
  <c r="O7" i="6"/>
  <c r="M12" i="5" l="1"/>
  <c r="O12" i="5" s="1"/>
  <c r="H12" i="5"/>
  <c r="D12" i="5"/>
  <c r="M11" i="5"/>
  <c r="O11" i="5" s="1"/>
  <c r="H11" i="5"/>
  <c r="D11" i="5"/>
  <c r="O10" i="5"/>
  <c r="M10" i="5"/>
  <c r="N10" i="5" s="1"/>
  <c r="P10" i="5" s="1"/>
  <c r="H10" i="5"/>
  <c r="D10" i="5"/>
  <c r="M9" i="5"/>
  <c r="O9" i="5" s="1"/>
  <c r="H9" i="5"/>
  <c r="D9" i="5"/>
  <c r="M8" i="5"/>
  <c r="O8" i="5" s="1"/>
  <c r="H8" i="5"/>
  <c r="D8" i="5"/>
  <c r="M7" i="5"/>
  <c r="O7" i="5" s="1"/>
  <c r="H7" i="5"/>
  <c r="D7" i="5"/>
  <c r="M6" i="5"/>
  <c r="O6" i="5" s="1"/>
  <c r="H6" i="5"/>
  <c r="D6" i="5"/>
  <c r="M5" i="5"/>
  <c r="O5" i="5" s="1"/>
  <c r="H5" i="5"/>
  <c r="D5" i="5"/>
  <c r="M4" i="5"/>
  <c r="O4" i="5" s="1"/>
  <c r="H4" i="5"/>
  <c r="D4" i="5"/>
  <c r="M3" i="5"/>
  <c r="H3" i="5"/>
  <c r="D3" i="5"/>
  <c r="M12" i="4"/>
  <c r="O12" i="4" s="1"/>
  <c r="H12" i="4"/>
  <c r="D12" i="4"/>
  <c r="N11" i="4"/>
  <c r="P11" i="4" s="1"/>
  <c r="M11" i="4"/>
  <c r="O11" i="4" s="1"/>
  <c r="H11" i="4"/>
  <c r="D11" i="4"/>
  <c r="O10" i="4"/>
  <c r="M10" i="4"/>
  <c r="N10" i="4" s="1"/>
  <c r="P10" i="4" s="1"/>
  <c r="H10" i="4"/>
  <c r="D10" i="4"/>
  <c r="M9" i="4"/>
  <c r="O9" i="4" s="1"/>
  <c r="H9" i="4"/>
  <c r="D9" i="4"/>
  <c r="M8" i="4"/>
  <c r="O8" i="4" s="1"/>
  <c r="H8" i="4"/>
  <c r="D8" i="4"/>
  <c r="M7" i="4"/>
  <c r="O7" i="4" s="1"/>
  <c r="H7" i="4"/>
  <c r="D7" i="4"/>
  <c r="O6" i="4"/>
  <c r="M6" i="4"/>
  <c r="N6" i="4" s="1"/>
  <c r="P6" i="4" s="1"/>
  <c r="H6" i="4"/>
  <c r="D6" i="4"/>
  <c r="M5" i="4"/>
  <c r="O5" i="4" s="1"/>
  <c r="H5" i="4"/>
  <c r="D5" i="4"/>
  <c r="M4" i="4"/>
  <c r="O4" i="4" s="1"/>
  <c r="H4" i="4"/>
  <c r="D4" i="4"/>
  <c r="M3" i="4"/>
  <c r="H3" i="4"/>
  <c r="D3" i="4"/>
  <c r="O3" i="5" l="1"/>
  <c r="N6" i="5"/>
  <c r="P6" i="5" s="1"/>
  <c r="N4" i="5"/>
  <c r="P4" i="5" s="1"/>
  <c r="N7" i="4"/>
  <c r="P7" i="4" s="1"/>
  <c r="N3" i="4"/>
  <c r="P3" i="4" s="1"/>
  <c r="O3" i="4"/>
  <c r="N5" i="5"/>
  <c r="P5" i="5" s="1"/>
  <c r="N9" i="5"/>
  <c r="P9" i="5" s="1"/>
  <c r="N8" i="5"/>
  <c r="P8" i="5" s="1"/>
  <c r="N12" i="5"/>
  <c r="P12" i="5" s="1"/>
  <c r="N3" i="5"/>
  <c r="P3" i="5" s="1"/>
  <c r="N7" i="5"/>
  <c r="P7" i="5" s="1"/>
  <c r="N11" i="5"/>
  <c r="P11" i="5" s="1"/>
  <c r="N5" i="4"/>
  <c r="P5" i="4" s="1"/>
  <c r="N9" i="4"/>
  <c r="P9" i="4" s="1"/>
  <c r="N4" i="4"/>
  <c r="P4" i="4" s="1"/>
  <c r="N8" i="4"/>
  <c r="P8" i="4" s="1"/>
  <c r="N12" i="4"/>
  <c r="P12" i="4" s="1"/>
  <c r="M12" i="3" l="1"/>
  <c r="O12" i="3" s="1"/>
  <c r="H12" i="3"/>
  <c r="D12" i="3"/>
  <c r="M11" i="3"/>
  <c r="O11" i="3" s="1"/>
  <c r="H11" i="3"/>
  <c r="D11" i="3"/>
  <c r="O10" i="3"/>
  <c r="M10" i="3"/>
  <c r="N10" i="3" s="1"/>
  <c r="P10" i="3" s="1"/>
  <c r="H10" i="3"/>
  <c r="D10" i="3"/>
  <c r="M9" i="3"/>
  <c r="O9" i="3" s="1"/>
  <c r="H9" i="3"/>
  <c r="D9" i="3"/>
  <c r="M8" i="3"/>
  <c r="O8" i="3" s="1"/>
  <c r="H8" i="3"/>
  <c r="D8" i="3"/>
  <c r="M7" i="3"/>
  <c r="O7" i="3" s="1"/>
  <c r="H7" i="3"/>
  <c r="D7" i="3"/>
  <c r="O6" i="3"/>
  <c r="M6" i="3"/>
  <c r="N6" i="3" s="1"/>
  <c r="P6" i="3" s="1"/>
  <c r="H6" i="3"/>
  <c r="D6" i="3"/>
  <c r="M5" i="3"/>
  <c r="O5" i="3" s="1"/>
  <c r="H5" i="3"/>
  <c r="D5" i="3"/>
  <c r="M4" i="3"/>
  <c r="O4" i="3" s="1"/>
  <c r="H4" i="3"/>
  <c r="D4" i="3"/>
  <c r="M3" i="3"/>
  <c r="O3" i="3" s="1"/>
  <c r="H3" i="3"/>
  <c r="D3" i="3"/>
  <c r="E12" i="1"/>
  <c r="E13" i="1"/>
  <c r="L13" i="1" s="1"/>
  <c r="E11" i="1"/>
  <c r="E10" i="1"/>
  <c r="E9" i="1"/>
  <c r="N12" i="2"/>
  <c r="P12" i="2" s="1"/>
  <c r="M12" i="2"/>
  <c r="O12" i="2" s="1"/>
  <c r="H12" i="2"/>
  <c r="D12" i="2"/>
  <c r="M11" i="2"/>
  <c r="O11" i="2" s="1"/>
  <c r="H11" i="2"/>
  <c r="D11" i="2"/>
  <c r="M10" i="2"/>
  <c r="N10" i="2" s="1"/>
  <c r="P10" i="2" s="1"/>
  <c r="H10" i="2"/>
  <c r="D10" i="2"/>
  <c r="M9" i="2"/>
  <c r="O9" i="2" s="1"/>
  <c r="H9" i="2"/>
  <c r="D9" i="2"/>
  <c r="M8" i="2"/>
  <c r="O8" i="2" s="1"/>
  <c r="H8" i="2"/>
  <c r="D8" i="2"/>
  <c r="M7" i="2"/>
  <c r="O7" i="2" s="1"/>
  <c r="H7" i="2"/>
  <c r="D7" i="2"/>
  <c r="O6" i="2"/>
  <c r="N6" i="2"/>
  <c r="P6" i="2" s="1"/>
  <c r="M6" i="2"/>
  <c r="H6" i="2"/>
  <c r="D6" i="2"/>
  <c r="M5" i="2"/>
  <c r="O5" i="2" s="1"/>
  <c r="H5" i="2"/>
  <c r="D5" i="2"/>
  <c r="M4" i="2"/>
  <c r="O4" i="2" s="1"/>
  <c r="H4" i="2"/>
  <c r="D4" i="2"/>
  <c r="M3" i="2"/>
  <c r="H3" i="2"/>
  <c r="D3" i="2"/>
  <c r="N11" i="3" l="1"/>
  <c r="P11" i="3" s="1"/>
  <c r="N7" i="3"/>
  <c r="P7" i="3" s="1"/>
  <c r="N3" i="3"/>
  <c r="P3" i="3" s="1"/>
  <c r="N5" i="3"/>
  <c r="P5" i="3" s="1"/>
  <c r="N9" i="3"/>
  <c r="P9" i="3" s="1"/>
  <c r="N4" i="3"/>
  <c r="P4" i="3" s="1"/>
  <c r="N8" i="3"/>
  <c r="P8" i="3" s="1"/>
  <c r="N12" i="3"/>
  <c r="P12" i="3" s="1"/>
  <c r="O10" i="2"/>
  <c r="N5" i="2"/>
  <c r="P5" i="2" s="1"/>
  <c r="N9" i="2"/>
  <c r="P9" i="2" s="1"/>
  <c r="N4" i="2"/>
  <c r="P4" i="2" s="1"/>
  <c r="N8" i="2"/>
  <c r="P8" i="2" s="1"/>
  <c r="N7" i="2"/>
  <c r="P7" i="2" s="1"/>
  <c r="N11" i="2"/>
  <c r="P1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<sst xmlns="http://schemas.openxmlformats.org/spreadsheetml/2006/main" count="139" uniqueCount="46">
  <si>
    <t>Set Point</t>
  </si>
  <si>
    <t>Actual (Avg over 10 sec)</t>
  </si>
  <si>
    <t>Measurement</t>
  </si>
  <si>
    <t>Calculated</t>
  </si>
  <si>
    <t>Hot Side</t>
  </si>
  <si>
    <t>Cold Side</t>
  </si>
  <si>
    <t>ΔT</t>
  </si>
  <si>
    <r>
      <t>V</t>
    </r>
    <r>
      <rPr>
        <b/>
        <vertAlign val="subscript"/>
        <sz val="11"/>
        <color theme="1"/>
        <rFont val="Calibri"/>
        <family val="2"/>
      </rPr>
      <t>oc</t>
    </r>
    <r>
      <rPr>
        <b/>
        <sz val="11"/>
        <color theme="1"/>
        <rFont val="Calibri"/>
        <family val="2"/>
      </rPr>
      <t xml:space="preserve"> [mV]</t>
    </r>
  </si>
  <si>
    <r>
      <t>V</t>
    </r>
    <r>
      <rPr>
        <b/>
        <vertAlign val="subscript"/>
        <sz val="11"/>
        <color theme="1"/>
        <rFont val="Calibri"/>
        <family val="2"/>
      </rPr>
      <t>load</t>
    </r>
    <r>
      <rPr>
        <b/>
        <sz val="11"/>
        <color theme="1"/>
        <rFont val="Calibri"/>
        <family val="2"/>
      </rPr>
      <t xml:space="preserve"> [mV]</t>
    </r>
  </si>
  <si>
    <t>mA</t>
  </si>
  <si>
    <t>R [Ω]</t>
  </si>
  <si>
    <t>Power [µW]</t>
  </si>
  <si>
    <r>
      <t>P</t>
    </r>
    <r>
      <rPr>
        <b/>
        <vertAlign val="subscript"/>
        <sz val="11"/>
        <color theme="1"/>
        <rFont val="Calibri"/>
        <family val="2"/>
      </rPr>
      <t>max</t>
    </r>
    <r>
      <rPr>
        <b/>
        <sz val="11"/>
        <color theme="1"/>
        <rFont val="Calibri"/>
        <family val="2"/>
      </rPr>
      <t xml:space="preserve"> [µW]</t>
    </r>
  </si>
  <si>
    <t>Measurements Setup</t>
  </si>
  <si>
    <t>Load</t>
  </si>
  <si>
    <t>Fluke 17B+</t>
  </si>
  <si>
    <t>22,7 Ambient</t>
  </si>
  <si>
    <t>Ohm</t>
  </si>
  <si>
    <t>TEGS</t>
  </si>
  <si>
    <t>1S</t>
  </si>
  <si>
    <t>30|</t>
  </si>
  <si>
    <t>Module</t>
  </si>
  <si>
    <t>Setup</t>
  </si>
  <si>
    <t>Using the TEG-testrig the opencircuit output voltage is measured for a 1 to 15 degrees delta T</t>
  </si>
  <si>
    <t>The voltage under load is used to calculate the output current</t>
  </si>
  <si>
    <t>With the current and voltage the resistance and power output can be apporched</t>
  </si>
  <si>
    <t>CP076581</t>
  </si>
  <si>
    <t>CP10726</t>
  </si>
  <si>
    <t>1MD04-127-15</t>
  </si>
  <si>
    <t>1MD06-127-15</t>
  </si>
  <si>
    <t>MGM250</t>
  </si>
  <si>
    <r>
      <t>Area [mm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</si>
  <si>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t>Datasheet values</t>
  </si>
  <si>
    <t>Width [mm]</t>
  </si>
  <si>
    <t>Lenght [mm]</t>
  </si>
  <si>
    <t>Pellets</t>
  </si>
  <si>
    <t>20 Ambient</t>
  </si>
  <si>
    <t>16,2 Ambient</t>
  </si>
  <si>
    <t>17,1 Ambient</t>
  </si>
  <si>
    <r>
      <t>Resistance [</t>
    </r>
    <r>
      <rPr>
        <b/>
        <sz val="11"/>
        <color theme="1"/>
        <rFont val="Calibri"/>
        <family val="2"/>
      </rPr>
      <t>Ω</t>
    </r>
    <r>
      <rPr>
        <b/>
        <sz val="11"/>
        <color theme="1"/>
        <rFont val="Calibri"/>
        <family val="2"/>
        <scheme val="minor"/>
      </rPr>
      <t>]</t>
    </r>
  </si>
  <si>
    <t>Measured</t>
  </si>
  <si>
    <t>Derived</t>
  </si>
  <si>
    <t>Open-Circuit</t>
  </si>
  <si>
    <t>Seebeck Coefficient [mV]</t>
  </si>
  <si>
    <r>
      <t>P</t>
    </r>
    <r>
      <rPr>
        <b/>
        <vertAlign val="subscript"/>
        <sz val="11"/>
        <color theme="1"/>
        <rFont val="Calibri"/>
        <family val="2"/>
        <scheme val="minor"/>
      </rPr>
      <t>max</t>
    </r>
    <r>
      <rPr>
        <b/>
        <sz val="11"/>
        <color theme="1"/>
        <rFont val="Calibri"/>
        <family val="2"/>
        <scheme val="minor"/>
      </rPr>
      <t xml:space="preserve"> @ </t>
    </r>
    <r>
      <rPr>
        <b/>
        <sz val="11"/>
        <color theme="1"/>
        <rFont val="Calibri"/>
        <family val="2"/>
      </rPr>
      <t>ΔT</t>
    </r>
    <r>
      <rPr>
        <b/>
        <sz val="11"/>
        <color theme="1"/>
        <rFont val="Calibri"/>
        <family val="2"/>
        <scheme val="minor"/>
      </rPr>
      <t xml:space="preserve"> 15 </t>
    </r>
    <r>
      <rPr>
        <b/>
        <sz val="11"/>
        <color theme="1"/>
        <rFont val="Calibri"/>
        <family val="2"/>
      </rPr>
      <t>°C</t>
    </r>
    <r>
      <rPr>
        <b/>
        <sz val="11"/>
        <color theme="1"/>
        <rFont val="Calibri"/>
        <family val="2"/>
        <scheme val="minor"/>
      </rPr>
      <t xml:space="preserve"> [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W]</t>
    </r>
  </si>
  <si>
    <r>
      <t>Power density  [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W/mm2]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</si>
</sst>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vertAlign val="subscript"/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vertAlign val="super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/>
    <xf numFmtId="164" fontId="0" fillId="0" borderId="0" xfId="0" applyNumberFormat="1"/>
    <xf numFmtId="164" fontId="0" fillId="0" borderId="0" xfId="0" applyNumberFormat="1" applyAlignment="1">
      <alignment horizontal="center"/>
    </xf>
    <xf numFmtId="2" fontId="0" fillId="0" borderId="0" xfId="0" applyNumberFormat="1"/>
    <xf numFmtId="0" fontId="7" fillId="0" borderId="0" xfId="0" applyFont="1"/>
    <xf numFmtId="164" fontId="2" fillId="0" borderId="0" xfId="0" applyNumberFormat="1" applyFont="1"/>
    <xf numFmtId="0" fontId="4" fillId="0" borderId="0" xfId="0" applyFont="1"/>
    <xf numFmtId="164" fontId="6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Open-Circuit Voltage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'1S CP07'!$J$1</c:f>
              <c:strCache>
                <c:ptCount val="1"/>
                <c:pt idx="0">
                  <c:v>Measurement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3892695974311112"/>
                  <c:y val="9.776069687090807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</c:trendlineLbl>
          </c:trendline>
          <c:xVal>
            <c:numRef>
              <c:f>'1S CP07'!$H$3:$H$12</c:f>
              <c:numCache>
                <c:formatCode>0.0</c:formatCode>
                <c:ptCount val="10"/>
                <c:pt idx="0">
                  <c:v>14.899999999999999</c:v>
                </c:pt>
                <c:pt idx="1">
                  <c:v>12.899999999999999</c:v>
                </c:pt>
                <c:pt idx="2">
                  <c:v>11.5</c:v>
                </c:pt>
                <c:pt idx="3">
                  <c:v>9.3000000000000007</c:v>
                </c:pt>
                <c:pt idx="4">
                  <c:v>7.4000000000000021</c:v>
                </c:pt>
                <c:pt idx="5">
                  <c:v>5.3000000000000007</c:v>
                </c:pt>
                <c:pt idx="6">
                  <c:v>4.3999999999999986</c:v>
                </c:pt>
                <c:pt idx="7">
                  <c:v>3.3999999999999986</c:v>
                </c:pt>
                <c:pt idx="8">
                  <c:v>2.2000000000000028</c:v>
                </c:pt>
                <c:pt idx="9">
                  <c:v>1</c:v>
                </c:pt>
              </c:numCache>
            </c:numRef>
          </c:xVal>
          <c:yVal>
            <c:numRef>
              <c:f>'1S CP07'!$J$3:$J$12</c:f>
              <c:numCache>
                <c:formatCode>0.0</c:formatCode>
                <c:ptCount val="10"/>
                <c:pt idx="0">
                  <c:v>94.9</c:v>
                </c:pt>
                <c:pt idx="1">
                  <c:v>82</c:v>
                </c:pt>
                <c:pt idx="2">
                  <c:v>73.2</c:v>
                </c:pt>
                <c:pt idx="3">
                  <c:v>59.3</c:v>
                </c:pt>
                <c:pt idx="4">
                  <c:v>48</c:v>
                </c:pt>
                <c:pt idx="5">
                  <c:v>34</c:v>
                </c:pt>
                <c:pt idx="6">
                  <c:v>28.3</c:v>
                </c:pt>
                <c:pt idx="7">
                  <c:v>20.7</c:v>
                </c:pt>
                <c:pt idx="8">
                  <c:v>14.7</c:v>
                </c:pt>
                <c:pt idx="9">
                  <c:v>7.4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88-4DE1-BFDD-24CCD2B66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803472"/>
        <c:axId val="1389802640"/>
      </c:scatterChart>
      <c:valAx>
        <c:axId val="138980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1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Δ</a:t>
                </a:r>
                <a:r>
                  <a:rPr lang="nl-NL" sz="11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</a:t>
                </a:r>
                <a:endParaRPr lang="nl-NL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89802640"/>
        <c:crosses val="autoZero"/>
        <c:crossBetween val="midCat"/>
      </c:valAx>
      <c:valAx>
        <c:axId val="138980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100"/>
                  <a:t>Voc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8980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Resistance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'1S CP07'!$N$1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005306557388774"/>
                  <c:y val="0.249186402247565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</c:trendlineLbl>
          </c:trendline>
          <c:xVal>
            <c:numRef>
              <c:f>'1S CP07'!$H$3:$H$12</c:f>
              <c:numCache>
                <c:formatCode>0.0</c:formatCode>
                <c:ptCount val="10"/>
                <c:pt idx="0">
                  <c:v>14.899999999999999</c:v>
                </c:pt>
                <c:pt idx="1">
                  <c:v>12.899999999999999</c:v>
                </c:pt>
                <c:pt idx="2">
                  <c:v>11.5</c:v>
                </c:pt>
                <c:pt idx="3">
                  <c:v>9.3000000000000007</c:v>
                </c:pt>
                <c:pt idx="4">
                  <c:v>7.4000000000000021</c:v>
                </c:pt>
                <c:pt idx="5">
                  <c:v>5.3000000000000007</c:v>
                </c:pt>
                <c:pt idx="6">
                  <c:v>4.3999999999999986</c:v>
                </c:pt>
                <c:pt idx="7">
                  <c:v>3.3999999999999986</c:v>
                </c:pt>
                <c:pt idx="8">
                  <c:v>2.2000000000000028</c:v>
                </c:pt>
                <c:pt idx="9">
                  <c:v>1</c:v>
                </c:pt>
              </c:numCache>
            </c:numRef>
          </c:xVal>
          <c:yVal>
            <c:numRef>
              <c:f>'1S CP07'!$N$3:$N$12</c:f>
              <c:numCache>
                <c:formatCode>0.00</c:formatCode>
                <c:ptCount val="10"/>
                <c:pt idx="0">
                  <c:v>7.668198529411768</c:v>
                </c:pt>
                <c:pt idx="1">
                  <c:v>7.7470085470085479</c:v>
                </c:pt>
                <c:pt idx="2">
                  <c:v>8.3162962962962972</c:v>
                </c:pt>
                <c:pt idx="3">
                  <c:v>7.8243323442136479</c:v>
                </c:pt>
                <c:pt idx="4">
                  <c:v>8.0791821561338288</c:v>
                </c:pt>
                <c:pt idx="5">
                  <c:v>8.1315789473684248</c:v>
                </c:pt>
                <c:pt idx="6">
                  <c:v>8.3852564102564138</c:v>
                </c:pt>
                <c:pt idx="7">
                  <c:v>7.9230769230769234</c:v>
                </c:pt>
                <c:pt idx="8">
                  <c:v>8.6262499999999989</c:v>
                </c:pt>
                <c:pt idx="9">
                  <c:v>8.2902439024390269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F1-4EF3-B568-08B3ED914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803472"/>
        <c:axId val="1389802640"/>
      </c:scatterChart>
      <c:valAx>
        <c:axId val="138980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1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Δ</a:t>
                </a:r>
                <a:r>
                  <a:rPr lang="nl-NL" sz="11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</a:t>
                </a:r>
                <a:endParaRPr lang="nl-NL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89802640"/>
        <c:crosses val="autoZero"/>
        <c:crossBetween val="midCat"/>
      </c:valAx>
      <c:valAx>
        <c:axId val="138980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100"/>
                  <a:t>Ω</a:t>
                </a:r>
                <a:endParaRPr lang="nl-NL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8980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Maximum Power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'1S CP07'!$P$1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2822015776638274"/>
                  <c:y val="-1.06973746837799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</c:trendlineLbl>
          </c:trendline>
          <c:xVal>
            <c:numRef>
              <c:f>'1S CP07'!$H$3:$H$12</c:f>
              <c:numCache>
                <c:formatCode>0.0</c:formatCode>
                <c:ptCount val="10"/>
                <c:pt idx="0">
                  <c:v>14.899999999999999</c:v>
                </c:pt>
                <c:pt idx="1">
                  <c:v>12.899999999999999</c:v>
                </c:pt>
                <c:pt idx="2">
                  <c:v>11.5</c:v>
                </c:pt>
                <c:pt idx="3">
                  <c:v>9.3000000000000007</c:v>
                </c:pt>
                <c:pt idx="4">
                  <c:v>7.4000000000000021</c:v>
                </c:pt>
                <c:pt idx="5">
                  <c:v>5.3000000000000007</c:v>
                </c:pt>
                <c:pt idx="6">
                  <c:v>4.3999999999999986</c:v>
                </c:pt>
                <c:pt idx="7">
                  <c:v>3.3999999999999986</c:v>
                </c:pt>
                <c:pt idx="8">
                  <c:v>2.2000000000000028</c:v>
                </c:pt>
                <c:pt idx="9">
                  <c:v>1</c:v>
                </c:pt>
              </c:numCache>
            </c:numRef>
          </c:xVal>
          <c:yVal>
            <c:numRef>
              <c:f>'1S CP07'!$P$3:$P$12</c:f>
              <c:numCache>
                <c:formatCode>0.00</c:formatCode>
                <c:ptCount val="10"/>
                <c:pt idx="0">
                  <c:v>293.61557233609</c:v>
                </c:pt>
                <c:pt idx="1">
                  <c:v>216.98698146513678</c:v>
                </c:pt>
                <c:pt idx="2">
                  <c:v>161.07651198004811</c:v>
                </c:pt>
                <c:pt idx="3">
                  <c:v>112.3575100500607</c:v>
                </c:pt>
                <c:pt idx="4">
                  <c:v>71.29434500529149</c:v>
                </c:pt>
                <c:pt idx="5">
                  <c:v>35.540453074433643</c:v>
                </c:pt>
                <c:pt idx="6">
                  <c:v>23.877922177203569</c:v>
                </c:pt>
                <c:pt idx="7">
                  <c:v>13.520315533980581</c:v>
                </c:pt>
                <c:pt idx="8">
                  <c:v>6.2625706419359517</c:v>
                </c:pt>
                <c:pt idx="9">
                  <c:v>1.6513386290085317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B8-4CA7-B588-E93C756B3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803472"/>
        <c:axId val="1389802640"/>
      </c:scatterChart>
      <c:valAx>
        <c:axId val="138980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1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Δ</a:t>
                </a:r>
                <a:r>
                  <a:rPr lang="nl-NL" sz="11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</a:t>
                </a:r>
                <a:endParaRPr lang="nl-NL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89802640"/>
        <c:crosses val="autoZero"/>
        <c:crossBetween val="midCat"/>
      </c:valAx>
      <c:valAx>
        <c:axId val="138980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100"/>
                  <a:t>µW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8980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Open-Circuit Voltage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'1S CP10'!$J$1</c:f>
              <c:strCache>
                <c:ptCount val="1"/>
                <c:pt idx="0">
                  <c:v>Measurement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3892695974311112"/>
                  <c:y val="9.776069687090807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</c:trendlineLbl>
          </c:trendline>
          <c:xVal>
            <c:numRef>
              <c:f>'1S CP10'!$H$3:$H$12</c:f>
              <c:numCache>
                <c:formatCode>0.0</c:formatCode>
                <c:ptCount val="10"/>
                <c:pt idx="0">
                  <c:v>14.8</c:v>
                </c:pt>
                <c:pt idx="1">
                  <c:v>12.7</c:v>
                </c:pt>
                <c:pt idx="2">
                  <c:v>10.8</c:v>
                </c:pt>
                <c:pt idx="3">
                  <c:v>9</c:v>
                </c:pt>
                <c:pt idx="4">
                  <c:v>7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0.89999999999999858</c:v>
                </c:pt>
              </c:numCache>
            </c:numRef>
          </c:xVal>
          <c:yVal>
            <c:numRef>
              <c:f>'1S CP10'!$J$3:$J$12</c:f>
              <c:numCache>
                <c:formatCode>0.0</c:formatCode>
                <c:ptCount val="10"/>
                <c:pt idx="0">
                  <c:v>58.1</c:v>
                </c:pt>
                <c:pt idx="1">
                  <c:v>46.5</c:v>
                </c:pt>
                <c:pt idx="2">
                  <c:v>39.299999999999997</c:v>
                </c:pt>
                <c:pt idx="3">
                  <c:v>34</c:v>
                </c:pt>
                <c:pt idx="4">
                  <c:v>26.4</c:v>
                </c:pt>
                <c:pt idx="5">
                  <c:v>18.5</c:v>
                </c:pt>
                <c:pt idx="6">
                  <c:v>14.8</c:v>
                </c:pt>
                <c:pt idx="7">
                  <c:v>11.5</c:v>
                </c:pt>
                <c:pt idx="8">
                  <c:v>8</c:v>
                </c:pt>
                <c:pt idx="9">
                  <c:v>4.5999999999999996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B1-4516-92FC-363522800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803472"/>
        <c:axId val="1389802640"/>
      </c:scatterChart>
      <c:valAx>
        <c:axId val="138980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1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Δ</a:t>
                </a:r>
                <a:r>
                  <a:rPr lang="nl-NL" sz="11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</a:t>
                </a:r>
                <a:endParaRPr lang="nl-NL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89802640"/>
        <c:crosses val="autoZero"/>
        <c:crossBetween val="midCat"/>
      </c:valAx>
      <c:valAx>
        <c:axId val="138980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100"/>
                  <a:t>Voc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8980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Resistance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'1S CP10'!$N$1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005306557388774"/>
                  <c:y val="0.249186402247565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</c:trendlineLbl>
          </c:trendline>
          <c:xVal>
            <c:numRef>
              <c:f>'1S CP10'!$H$3:$H$12</c:f>
              <c:numCache>
                <c:formatCode>0.0</c:formatCode>
                <c:ptCount val="10"/>
                <c:pt idx="0">
                  <c:v>14.8</c:v>
                </c:pt>
                <c:pt idx="1">
                  <c:v>12.7</c:v>
                </c:pt>
                <c:pt idx="2">
                  <c:v>10.8</c:v>
                </c:pt>
                <c:pt idx="3">
                  <c:v>9</c:v>
                </c:pt>
                <c:pt idx="4">
                  <c:v>7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0.89999999999999858</c:v>
                </c:pt>
              </c:numCache>
            </c:numRef>
          </c:xVal>
          <c:yVal>
            <c:numRef>
              <c:f>'1S CP10'!$N$3:$N$12</c:f>
              <c:numCache>
                <c:formatCode>0.00</c:formatCode>
                <c:ptCount val="10"/>
                <c:pt idx="0">
                  <c:v>4.0853365384615383</c:v>
                </c:pt>
                <c:pt idx="1">
                  <c:v>3.1915492957746476</c:v>
                </c:pt>
                <c:pt idx="2">
                  <c:v>3.2835570469798636</c:v>
                </c:pt>
                <c:pt idx="3">
                  <c:v>3.1692307692307704</c:v>
                </c:pt>
                <c:pt idx="4">
                  <c:v>3.2959999999999994</c:v>
                </c:pt>
                <c:pt idx="5">
                  <c:v>2.8413793103448288</c:v>
                </c:pt>
                <c:pt idx="6">
                  <c:v>3.4333333333333353</c:v>
                </c:pt>
                <c:pt idx="7">
                  <c:v>3.3149425287356333</c:v>
                </c:pt>
                <c:pt idx="8">
                  <c:v>2.9903225806451612</c:v>
                </c:pt>
                <c:pt idx="9">
                  <c:v>4.0575757575757585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49-4F32-A101-9D344EFFB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803472"/>
        <c:axId val="1389802640"/>
      </c:scatterChart>
      <c:valAx>
        <c:axId val="138980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1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Δ</a:t>
                </a:r>
                <a:r>
                  <a:rPr lang="nl-NL" sz="11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</a:t>
                </a:r>
                <a:endParaRPr lang="nl-NL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89802640"/>
        <c:crosses val="autoZero"/>
        <c:crossBetween val="midCat"/>
      </c:valAx>
      <c:valAx>
        <c:axId val="138980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100"/>
                  <a:t>Ω</a:t>
                </a:r>
                <a:endParaRPr lang="nl-NL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8980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Maximum Power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'1S CP10'!$P$1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2822015776638274"/>
                  <c:y val="-1.06973746837799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</c:trendlineLbl>
          </c:trendline>
          <c:xVal>
            <c:numRef>
              <c:f>'1S CP10'!$H$3:$H$12</c:f>
              <c:numCache>
                <c:formatCode>0.0</c:formatCode>
                <c:ptCount val="10"/>
                <c:pt idx="0">
                  <c:v>14.8</c:v>
                </c:pt>
                <c:pt idx="1">
                  <c:v>12.7</c:v>
                </c:pt>
                <c:pt idx="2">
                  <c:v>10.8</c:v>
                </c:pt>
                <c:pt idx="3">
                  <c:v>9</c:v>
                </c:pt>
                <c:pt idx="4">
                  <c:v>7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0.89999999999999858</c:v>
                </c:pt>
              </c:numCache>
            </c:numRef>
          </c:xVal>
          <c:yVal>
            <c:numRef>
              <c:f>'1S CP10'!$P$3:$P$12</c:f>
              <c:numCache>
                <c:formatCode>0.00</c:formatCode>
                <c:ptCount val="10"/>
                <c:pt idx="0">
                  <c:v>206.56866137099149</c:v>
                </c:pt>
                <c:pt idx="1">
                  <c:v>169.37306928508386</c:v>
                </c:pt>
                <c:pt idx="2">
                  <c:v>117.5927491057742</c:v>
                </c:pt>
                <c:pt idx="3">
                  <c:v>91.189320388349486</c:v>
                </c:pt>
                <c:pt idx="4">
                  <c:v>52.864077669902919</c:v>
                </c:pt>
                <c:pt idx="5">
                  <c:v>30.113015776699015</c:v>
                </c:pt>
                <c:pt idx="6">
                  <c:v>15.949514563106789</c:v>
                </c:pt>
                <c:pt idx="7">
                  <c:v>9.9737777392510374</c:v>
                </c:pt>
                <c:pt idx="8">
                  <c:v>5.3505933117583604</c:v>
                </c:pt>
                <c:pt idx="9">
                  <c:v>1.3037341299477216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D0-4B3B-BCEE-E179BF651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803472"/>
        <c:axId val="1389802640"/>
      </c:scatterChart>
      <c:valAx>
        <c:axId val="138980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1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Δ</a:t>
                </a:r>
                <a:r>
                  <a:rPr lang="nl-NL" sz="11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</a:t>
                </a:r>
                <a:endParaRPr lang="nl-NL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89802640"/>
        <c:crosses val="autoZero"/>
        <c:crossBetween val="midCat"/>
      </c:valAx>
      <c:valAx>
        <c:axId val="138980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100"/>
                  <a:t>µW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8980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Open-Circuit Voltage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'1S MGM250'!$J$1</c:f>
              <c:strCache>
                <c:ptCount val="1"/>
                <c:pt idx="0">
                  <c:v>Measurement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3892695974311112"/>
                  <c:y val="9.776069687090807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</c:trendlineLbl>
          </c:trendline>
          <c:xVal>
            <c:numRef>
              <c:f>'1S MGM250'!$H$3:$H$12</c:f>
              <c:numCache>
                <c:formatCode>0.0</c:formatCode>
                <c:ptCount val="10"/>
                <c:pt idx="0">
                  <c:v>14.5</c:v>
                </c:pt>
                <c:pt idx="1">
                  <c:v>12.8</c:v>
                </c:pt>
                <c:pt idx="2">
                  <c:v>10.7</c:v>
                </c:pt>
                <c:pt idx="3">
                  <c:v>9</c:v>
                </c:pt>
                <c:pt idx="4">
                  <c:v>7</c:v>
                </c:pt>
                <c:pt idx="5">
                  <c:v>5.1000000000000014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xVal>
          <c:yVal>
            <c:numRef>
              <c:f>'1S MGM250'!$J$3:$J$12</c:f>
              <c:numCache>
                <c:formatCode>0.0</c:formatCode>
                <c:ptCount val="10"/>
                <c:pt idx="0">
                  <c:v>43</c:v>
                </c:pt>
                <c:pt idx="1">
                  <c:v>38.1</c:v>
                </c:pt>
                <c:pt idx="2">
                  <c:v>32.299999999999997</c:v>
                </c:pt>
                <c:pt idx="3">
                  <c:v>28.1</c:v>
                </c:pt>
                <c:pt idx="4">
                  <c:v>22.89</c:v>
                </c:pt>
                <c:pt idx="5">
                  <c:v>16.399999999999999</c:v>
                </c:pt>
                <c:pt idx="6">
                  <c:v>14.2</c:v>
                </c:pt>
                <c:pt idx="7">
                  <c:v>11.7</c:v>
                </c:pt>
                <c:pt idx="8">
                  <c:v>8.9</c:v>
                </c:pt>
                <c:pt idx="9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C5-4740-A3D5-1A6E05E25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803472"/>
        <c:axId val="1389802640"/>
      </c:scatterChart>
      <c:valAx>
        <c:axId val="138980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1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Δ</a:t>
                </a:r>
                <a:r>
                  <a:rPr lang="nl-NL" sz="11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</a:t>
                </a:r>
                <a:endParaRPr lang="nl-NL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89802640"/>
        <c:crosses val="autoZero"/>
        <c:crossBetween val="midCat"/>
      </c:valAx>
      <c:valAx>
        <c:axId val="138980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100"/>
                  <a:t>Voc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8980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Resistance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'1S MGM250'!$N$1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005306557388774"/>
                  <c:y val="0.249186402247565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</c:trendlineLbl>
          </c:trendline>
          <c:xVal>
            <c:numRef>
              <c:f>'1S MGM250'!$H$3:$H$12</c:f>
              <c:numCache>
                <c:formatCode>0.0</c:formatCode>
                <c:ptCount val="10"/>
                <c:pt idx="0">
                  <c:v>14.5</c:v>
                </c:pt>
                <c:pt idx="1">
                  <c:v>12.8</c:v>
                </c:pt>
                <c:pt idx="2">
                  <c:v>10.7</c:v>
                </c:pt>
                <c:pt idx="3">
                  <c:v>9</c:v>
                </c:pt>
                <c:pt idx="4">
                  <c:v>7</c:v>
                </c:pt>
                <c:pt idx="5">
                  <c:v>5.1000000000000014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xVal>
          <c:yVal>
            <c:numRef>
              <c:f>'1S MGM250'!$N$3:$N$12</c:f>
              <c:numCache>
                <c:formatCode>0.00</c:formatCode>
                <c:ptCount val="10"/>
                <c:pt idx="0">
                  <c:v>2.1760563380281699</c:v>
                </c:pt>
                <c:pt idx="1">
                  <c:v>2.0794952681388033</c:v>
                </c:pt>
                <c:pt idx="2">
                  <c:v>1.9312499999999986</c:v>
                </c:pt>
                <c:pt idx="3">
                  <c:v>2.3388646288209607</c:v>
                </c:pt>
                <c:pt idx="4">
                  <c:v>2.375645161290322</c:v>
                </c:pt>
                <c:pt idx="5">
                  <c:v>1.8525179856115095</c:v>
                </c:pt>
                <c:pt idx="6">
                  <c:v>2.6433628318584041</c:v>
                </c:pt>
                <c:pt idx="7">
                  <c:v>2.3852631578947374</c:v>
                </c:pt>
                <c:pt idx="8">
                  <c:v>2.0878378378378368</c:v>
                </c:pt>
                <c:pt idx="9">
                  <c:v>1.8176470588235301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8E-439F-8536-AA3E1145F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803472"/>
        <c:axId val="1389802640"/>
      </c:scatterChart>
      <c:valAx>
        <c:axId val="138980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1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Δ</a:t>
                </a:r>
                <a:r>
                  <a:rPr lang="nl-NL" sz="11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</a:t>
                </a:r>
                <a:endParaRPr lang="nl-NL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89802640"/>
        <c:crosses val="autoZero"/>
        <c:crossBetween val="midCat"/>
      </c:valAx>
      <c:valAx>
        <c:axId val="138980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100"/>
                  <a:t>Ω</a:t>
                </a:r>
                <a:endParaRPr lang="nl-NL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8980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Maximum Power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'1S MGM250'!$P$1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2822015776638274"/>
                  <c:y val="-1.06973746837799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</c:trendlineLbl>
          </c:trendline>
          <c:xVal>
            <c:numRef>
              <c:f>'1S MGM250'!$H$3:$H$12</c:f>
              <c:numCache>
                <c:formatCode>0.0</c:formatCode>
                <c:ptCount val="10"/>
                <c:pt idx="0">
                  <c:v>14.5</c:v>
                </c:pt>
                <c:pt idx="1">
                  <c:v>12.8</c:v>
                </c:pt>
                <c:pt idx="2">
                  <c:v>10.7</c:v>
                </c:pt>
                <c:pt idx="3">
                  <c:v>9</c:v>
                </c:pt>
                <c:pt idx="4">
                  <c:v>7</c:v>
                </c:pt>
                <c:pt idx="5">
                  <c:v>5.1000000000000014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xVal>
          <c:yVal>
            <c:numRef>
              <c:f>'1S MGM250'!$P$3:$P$12</c:f>
              <c:numCache>
                <c:formatCode>0.00</c:formatCode>
                <c:ptCount val="10"/>
                <c:pt idx="0">
                  <c:v>212.42556634304199</c:v>
                </c:pt>
                <c:pt idx="1">
                  <c:v>174.51470342839789</c:v>
                </c:pt>
                <c:pt idx="2">
                  <c:v>135.05372168284796</c:v>
                </c:pt>
                <c:pt idx="3">
                  <c:v>84.400994212098595</c:v>
                </c:pt>
                <c:pt idx="4">
                  <c:v>55.137874601127038</c:v>
                </c:pt>
                <c:pt idx="5">
                  <c:v>36.296543689320409</c:v>
                </c:pt>
                <c:pt idx="6">
                  <c:v>19.070405088717798</c:v>
                </c:pt>
                <c:pt idx="7">
                  <c:v>14.347473521624002</c:v>
                </c:pt>
                <c:pt idx="8">
                  <c:v>9.4846925566343092</c:v>
                </c:pt>
                <c:pt idx="9">
                  <c:v>4.9514563106796095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10-493B-8269-056A7BE75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803472"/>
        <c:axId val="1389802640"/>
      </c:scatterChart>
      <c:valAx>
        <c:axId val="138980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1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Δ</a:t>
                </a:r>
                <a:r>
                  <a:rPr lang="nl-NL" sz="11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</a:t>
                </a:r>
                <a:endParaRPr lang="nl-NL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89802640"/>
        <c:crosses val="autoZero"/>
        <c:crossBetween val="midCat"/>
      </c:valAx>
      <c:valAx>
        <c:axId val="138980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100"/>
                  <a:t>µW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8980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Open-Circuit Voltage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'1S 1MD04'!$J$1</c:f>
              <c:strCache>
                <c:ptCount val="1"/>
                <c:pt idx="0">
                  <c:v>Measurement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3892695974311112"/>
                  <c:y val="9.776069687090807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</c:trendlineLbl>
          </c:trendline>
          <c:xVal>
            <c:numRef>
              <c:f>'1S 1MD04'!$H$3:$H$12</c:f>
              <c:numCache>
                <c:formatCode>0.0</c:formatCode>
                <c:ptCount val="10"/>
                <c:pt idx="0">
                  <c:v>14.799999999999997</c:v>
                </c:pt>
                <c:pt idx="1">
                  <c:v>13</c:v>
                </c:pt>
                <c:pt idx="2">
                  <c:v>11.2</c:v>
                </c:pt>
                <c:pt idx="3">
                  <c:v>9.0999999999999979</c:v>
                </c:pt>
                <c:pt idx="4">
                  <c:v>7.1000000000000014</c:v>
                </c:pt>
                <c:pt idx="5">
                  <c:v>5</c:v>
                </c:pt>
                <c:pt idx="6">
                  <c:v>4.1000000000000014</c:v>
                </c:pt>
                <c:pt idx="7">
                  <c:v>2.8999999999999986</c:v>
                </c:pt>
                <c:pt idx="8">
                  <c:v>2.1000000000000014</c:v>
                </c:pt>
                <c:pt idx="9">
                  <c:v>1</c:v>
                </c:pt>
              </c:numCache>
            </c:numRef>
          </c:xVal>
          <c:yVal>
            <c:numRef>
              <c:f>'1S 1MD04'!$J$3:$J$12</c:f>
              <c:numCache>
                <c:formatCode>0.0</c:formatCode>
                <c:ptCount val="10"/>
                <c:pt idx="0">
                  <c:v>275</c:v>
                </c:pt>
                <c:pt idx="1">
                  <c:v>242.2</c:v>
                </c:pt>
                <c:pt idx="2">
                  <c:v>210.5</c:v>
                </c:pt>
                <c:pt idx="3">
                  <c:v>171.4</c:v>
                </c:pt>
                <c:pt idx="4">
                  <c:v>132.80000000000001</c:v>
                </c:pt>
                <c:pt idx="5">
                  <c:v>97.7</c:v>
                </c:pt>
                <c:pt idx="6">
                  <c:v>76.400000000000006</c:v>
                </c:pt>
                <c:pt idx="7">
                  <c:v>56</c:v>
                </c:pt>
                <c:pt idx="8">
                  <c:v>38.1</c:v>
                </c:pt>
                <c:pt idx="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BD-4C19-8D4E-EEF8F9673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803472"/>
        <c:axId val="1389802640"/>
      </c:scatterChart>
      <c:valAx>
        <c:axId val="138980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1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Δ</a:t>
                </a:r>
                <a:r>
                  <a:rPr lang="nl-NL" sz="11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</a:t>
                </a:r>
                <a:endParaRPr lang="nl-NL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89802640"/>
        <c:crosses val="autoZero"/>
        <c:crossBetween val="midCat"/>
      </c:valAx>
      <c:valAx>
        <c:axId val="138980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100"/>
                  <a:t>Voc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8980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Resistance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'1S 1MD04'!$N$1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005306557388774"/>
                  <c:y val="0.249186402247565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</c:trendlineLbl>
          </c:trendline>
          <c:xVal>
            <c:numRef>
              <c:f>'1S 1MD04'!$H$3:$H$12</c:f>
              <c:numCache>
                <c:formatCode>0.0</c:formatCode>
                <c:ptCount val="10"/>
                <c:pt idx="0">
                  <c:v>14.799999999999997</c:v>
                </c:pt>
                <c:pt idx="1">
                  <c:v>13</c:v>
                </c:pt>
                <c:pt idx="2">
                  <c:v>11.2</c:v>
                </c:pt>
                <c:pt idx="3">
                  <c:v>9.0999999999999979</c:v>
                </c:pt>
                <c:pt idx="4">
                  <c:v>7.1000000000000014</c:v>
                </c:pt>
                <c:pt idx="5">
                  <c:v>5</c:v>
                </c:pt>
                <c:pt idx="6">
                  <c:v>4.1000000000000014</c:v>
                </c:pt>
                <c:pt idx="7">
                  <c:v>2.8999999999999986</c:v>
                </c:pt>
                <c:pt idx="8">
                  <c:v>2.1000000000000014</c:v>
                </c:pt>
                <c:pt idx="9">
                  <c:v>1</c:v>
                </c:pt>
              </c:numCache>
            </c:numRef>
          </c:xVal>
          <c:yVal>
            <c:numRef>
              <c:f>'1S 1MD04'!$N$3:$N$12</c:f>
              <c:numCache>
                <c:formatCode>0.00</c:formatCode>
                <c:ptCount val="10"/>
                <c:pt idx="0">
                  <c:v>36.210673234811168</c:v>
                </c:pt>
                <c:pt idx="1">
                  <c:v>37.037001897533202</c:v>
                </c:pt>
                <c:pt idx="2">
                  <c:v>37.247149122807016</c:v>
                </c:pt>
                <c:pt idx="3">
                  <c:v>37.157526881720429</c:v>
                </c:pt>
                <c:pt idx="4">
                  <c:v>37.359930313588848</c:v>
                </c:pt>
                <c:pt idx="5">
                  <c:v>37.619523809523812</c:v>
                </c:pt>
                <c:pt idx="6">
                  <c:v>37.104819277108433</c:v>
                </c:pt>
                <c:pt idx="7">
                  <c:v>37.369421487603304</c:v>
                </c:pt>
                <c:pt idx="8">
                  <c:v>35.331395348837219</c:v>
                </c:pt>
                <c:pt idx="9">
                  <c:v>37.606976744186042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F5-4806-AD22-E930E9412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803472"/>
        <c:axId val="1389802640"/>
      </c:scatterChart>
      <c:valAx>
        <c:axId val="138980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1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Δ</a:t>
                </a:r>
                <a:r>
                  <a:rPr lang="nl-NL" sz="11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</a:t>
                </a:r>
                <a:endParaRPr lang="nl-NL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89802640"/>
        <c:crosses val="autoZero"/>
        <c:crossBetween val="midCat"/>
      </c:valAx>
      <c:valAx>
        <c:axId val="138980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100"/>
                  <a:t>Ω</a:t>
                </a:r>
                <a:endParaRPr lang="nl-NL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8980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Maximum Power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'1S 1MD04'!$P$1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2822015776638274"/>
                  <c:y val="-1.06973746837799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</c:trendlineLbl>
          </c:trendline>
          <c:xVal>
            <c:numRef>
              <c:f>'1S 1MD04'!$H$3:$H$12</c:f>
              <c:numCache>
                <c:formatCode>0.0</c:formatCode>
                <c:ptCount val="10"/>
                <c:pt idx="0">
                  <c:v>14.799999999999997</c:v>
                </c:pt>
                <c:pt idx="1">
                  <c:v>13</c:v>
                </c:pt>
                <c:pt idx="2">
                  <c:v>11.2</c:v>
                </c:pt>
                <c:pt idx="3">
                  <c:v>9.0999999999999979</c:v>
                </c:pt>
                <c:pt idx="4">
                  <c:v>7.1000000000000014</c:v>
                </c:pt>
                <c:pt idx="5">
                  <c:v>5</c:v>
                </c:pt>
                <c:pt idx="6">
                  <c:v>4.1000000000000014</c:v>
                </c:pt>
                <c:pt idx="7">
                  <c:v>2.8999999999999986</c:v>
                </c:pt>
                <c:pt idx="8">
                  <c:v>2.1000000000000014</c:v>
                </c:pt>
                <c:pt idx="9">
                  <c:v>1</c:v>
                </c:pt>
              </c:numCache>
            </c:numRef>
          </c:xVal>
          <c:yVal>
            <c:numRef>
              <c:f>'1S 1MD04'!$P$3:$P$12</c:f>
              <c:numCache>
                <c:formatCode>0.00</c:formatCode>
                <c:ptCount val="10"/>
                <c:pt idx="0">
                  <c:v>522.11815774318325</c:v>
                </c:pt>
                <c:pt idx="1">
                  <c:v>395.9610456746164</c:v>
                </c:pt>
                <c:pt idx="2">
                  <c:v>297.40698982024998</c:v>
                </c:pt>
                <c:pt idx="3">
                  <c:v>197.65820323238756</c:v>
                </c:pt>
                <c:pt idx="4">
                  <c:v>118.01306809173408</c:v>
                </c:pt>
                <c:pt idx="5">
                  <c:v>63.433086290046965</c:v>
                </c:pt>
                <c:pt idx="6">
                  <c:v>39.327505925901882</c:v>
                </c:pt>
                <c:pt idx="7">
                  <c:v>20.979720016807839</c:v>
                </c:pt>
                <c:pt idx="8">
                  <c:v>10.271388843179198</c:v>
                </c:pt>
                <c:pt idx="9">
                  <c:v>2.6590810710531203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7-4ADF-91DC-B92A2EDE8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803472"/>
        <c:axId val="1389802640"/>
      </c:scatterChart>
      <c:valAx>
        <c:axId val="138980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1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Δ</a:t>
                </a:r>
                <a:r>
                  <a:rPr lang="nl-NL" sz="11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</a:t>
                </a:r>
                <a:endParaRPr lang="nl-NL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89802640"/>
        <c:crosses val="autoZero"/>
        <c:crossBetween val="midCat"/>
      </c:valAx>
      <c:valAx>
        <c:axId val="138980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100"/>
                  <a:t>µW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8980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Open-Circuit Voltage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'1S 1MD06'!$J$1</c:f>
              <c:strCache>
                <c:ptCount val="1"/>
                <c:pt idx="0">
                  <c:v>Measurement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3892695974311112"/>
                  <c:y val="9.776069687090807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</c:trendlineLbl>
          </c:trendline>
          <c:xVal>
            <c:numRef>
              <c:f>'1S 1MD06'!$H$3:$H$12</c:f>
              <c:numCache>
                <c:formatCode>0.0</c:formatCode>
                <c:ptCount val="10"/>
                <c:pt idx="0">
                  <c:v>14.5</c:v>
                </c:pt>
                <c:pt idx="1">
                  <c:v>12.8</c:v>
                </c:pt>
                <c:pt idx="2">
                  <c:v>10.8</c:v>
                </c:pt>
                <c:pt idx="3">
                  <c:v>9.0999999999999979</c:v>
                </c:pt>
                <c:pt idx="4">
                  <c:v>7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2.1000000000000014</c:v>
                </c:pt>
                <c:pt idx="9">
                  <c:v>0.89999999999999858</c:v>
                </c:pt>
              </c:numCache>
            </c:numRef>
          </c:xVal>
          <c:yVal>
            <c:numRef>
              <c:f>'1S 1MD06'!$J$3:$J$12</c:f>
              <c:numCache>
                <c:formatCode>0.0</c:formatCode>
                <c:ptCount val="10"/>
                <c:pt idx="0">
                  <c:v>185</c:v>
                </c:pt>
                <c:pt idx="1">
                  <c:v>163.4</c:v>
                </c:pt>
                <c:pt idx="2">
                  <c:v>140.19999999999999</c:v>
                </c:pt>
                <c:pt idx="3">
                  <c:v>121</c:v>
                </c:pt>
                <c:pt idx="4">
                  <c:v>91</c:v>
                </c:pt>
                <c:pt idx="5">
                  <c:v>66.400000000000006</c:v>
                </c:pt>
                <c:pt idx="6">
                  <c:v>52.7</c:v>
                </c:pt>
                <c:pt idx="7">
                  <c:v>41.1</c:v>
                </c:pt>
                <c:pt idx="8">
                  <c:v>26.6</c:v>
                </c:pt>
                <c:pt idx="9">
                  <c:v>15.8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D2-4C84-A299-4B736A2E9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803472"/>
        <c:axId val="1389802640"/>
      </c:scatterChart>
      <c:valAx>
        <c:axId val="138980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1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Δ</a:t>
                </a:r>
                <a:r>
                  <a:rPr lang="nl-NL" sz="11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</a:t>
                </a:r>
                <a:endParaRPr lang="nl-NL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89802640"/>
        <c:crosses val="autoZero"/>
        <c:crossBetween val="midCat"/>
      </c:valAx>
      <c:valAx>
        <c:axId val="138980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100"/>
                  <a:t>Voc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8980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Resistance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'1S 1MD06'!$N$1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005306557388774"/>
                  <c:y val="0.249186402247565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</c:trendlineLbl>
          </c:trendline>
          <c:xVal>
            <c:numRef>
              <c:f>'1S 1MD06'!$H$3:$H$12</c:f>
              <c:numCache>
                <c:formatCode>0.0</c:formatCode>
                <c:ptCount val="10"/>
                <c:pt idx="0">
                  <c:v>14.5</c:v>
                </c:pt>
                <c:pt idx="1">
                  <c:v>12.8</c:v>
                </c:pt>
                <c:pt idx="2">
                  <c:v>10.8</c:v>
                </c:pt>
                <c:pt idx="3">
                  <c:v>9.0999999999999979</c:v>
                </c:pt>
                <c:pt idx="4">
                  <c:v>7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2.1000000000000014</c:v>
                </c:pt>
                <c:pt idx="9">
                  <c:v>0.89999999999999858</c:v>
                </c:pt>
              </c:numCache>
            </c:numRef>
          </c:xVal>
          <c:yVal>
            <c:numRef>
              <c:f>'1S 1MD06'!$N$3:$N$12</c:f>
              <c:numCache>
                <c:formatCode>0.00</c:formatCode>
                <c:ptCount val="10"/>
                <c:pt idx="0">
                  <c:v>18.26821589205397</c:v>
                </c:pt>
                <c:pt idx="1">
                  <c:v>18.518835616438359</c:v>
                </c:pt>
                <c:pt idx="2">
                  <c:v>18.814112903225805</c:v>
                </c:pt>
                <c:pt idx="3">
                  <c:v>19.373809523809523</c:v>
                </c:pt>
                <c:pt idx="4">
                  <c:v>19.082445141065833</c:v>
                </c:pt>
                <c:pt idx="5">
                  <c:v>19.179310344827588</c:v>
                </c:pt>
                <c:pt idx="6">
                  <c:v>18.572872340425533</c:v>
                </c:pt>
                <c:pt idx="7">
                  <c:v>19.937857142857151</c:v>
                </c:pt>
                <c:pt idx="8">
                  <c:v>19.160215053763441</c:v>
                </c:pt>
                <c:pt idx="9">
                  <c:v>22.248000000000001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E7-403E-85AC-3664F4E5F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803472"/>
        <c:axId val="1389802640"/>
      </c:scatterChart>
      <c:valAx>
        <c:axId val="138980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1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Δ</a:t>
                </a:r>
                <a:r>
                  <a:rPr lang="nl-NL" sz="11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</a:t>
                </a:r>
                <a:endParaRPr lang="nl-NL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89802640"/>
        <c:crosses val="autoZero"/>
        <c:crossBetween val="midCat"/>
      </c:valAx>
      <c:valAx>
        <c:axId val="138980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100"/>
                  <a:t>Ω</a:t>
                </a:r>
                <a:endParaRPr lang="nl-NL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8980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Maximum Power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'1S 1MD06'!$P$1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2822015776638274"/>
                  <c:y val="-1.06973746837799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</c:trendlineLbl>
          </c:trendline>
          <c:xVal>
            <c:numRef>
              <c:f>'1S 1MD06'!$H$3:$H$12</c:f>
              <c:numCache>
                <c:formatCode>0.0</c:formatCode>
                <c:ptCount val="10"/>
                <c:pt idx="0">
                  <c:v>14.5</c:v>
                </c:pt>
                <c:pt idx="1">
                  <c:v>12.8</c:v>
                </c:pt>
                <c:pt idx="2">
                  <c:v>10.8</c:v>
                </c:pt>
                <c:pt idx="3">
                  <c:v>9.0999999999999979</c:v>
                </c:pt>
                <c:pt idx="4">
                  <c:v>7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2.1000000000000014</c:v>
                </c:pt>
                <c:pt idx="9">
                  <c:v>0.89999999999999858</c:v>
                </c:pt>
              </c:numCache>
            </c:numRef>
          </c:xVal>
          <c:yVal>
            <c:numRef>
              <c:f>'1S 1MD06'!$P$3:$P$12</c:f>
              <c:numCache>
                <c:formatCode>0.00</c:formatCode>
                <c:ptCount val="10"/>
                <c:pt idx="0">
                  <c:v>468.36812366125292</c:v>
                </c:pt>
                <c:pt idx="1">
                  <c:v>360.43788811835412</c:v>
                </c:pt>
                <c:pt idx="2">
                  <c:v>261.1874407938447</c:v>
                </c:pt>
                <c:pt idx="3">
                  <c:v>188.92773749539143</c:v>
                </c:pt>
                <c:pt idx="4">
                  <c:v>108.48976557751384</c:v>
                </c:pt>
                <c:pt idx="5">
                  <c:v>57.470262495505224</c:v>
                </c:pt>
                <c:pt idx="6">
                  <c:v>37.383689893175244</c:v>
                </c:pt>
                <c:pt idx="7">
                  <c:v>21.180937197721484</c:v>
                </c:pt>
                <c:pt idx="8">
                  <c:v>9.2321510746955511</c:v>
                </c:pt>
                <c:pt idx="9">
                  <c:v>2.8051959726717008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F7-4674-B39B-4D224BBF3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803472"/>
        <c:axId val="1389802640"/>
      </c:scatterChart>
      <c:valAx>
        <c:axId val="138980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1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Δ</a:t>
                </a:r>
                <a:r>
                  <a:rPr lang="nl-NL" sz="11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</a:t>
                </a:r>
                <a:endParaRPr lang="nl-NL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89802640"/>
        <c:crosses val="autoZero"/>
        <c:crossBetween val="midCat"/>
      </c:valAx>
      <c:valAx>
        <c:axId val="138980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100"/>
                  <a:t>µW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8980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185737</xdr:rowOff>
    </xdr:from>
    <xdr:to>
      <xdr:col>7</xdr:col>
      <xdr:colOff>0</xdr:colOff>
      <xdr:row>26</xdr:row>
      <xdr:rowOff>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2A9530F4-32B2-4E59-B37A-F5EE1769E1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12</xdr:row>
      <xdr:rowOff>180975</xdr:rowOff>
    </xdr:from>
    <xdr:to>
      <xdr:col>12</xdr:col>
      <xdr:colOff>161925</xdr:colOff>
      <xdr:row>25</xdr:row>
      <xdr:rowOff>185738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1B24B1BB-AD1B-4001-82B0-E2E665EA7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</xdr:colOff>
      <xdr:row>12</xdr:row>
      <xdr:rowOff>180975</xdr:rowOff>
    </xdr:from>
    <xdr:to>
      <xdr:col>18</xdr:col>
      <xdr:colOff>38100</xdr:colOff>
      <xdr:row>25</xdr:row>
      <xdr:rowOff>185738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BAA8F173-AB08-4047-92AF-A7B1C78B1B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185737</xdr:rowOff>
    </xdr:from>
    <xdr:to>
      <xdr:col>7</xdr:col>
      <xdr:colOff>0</xdr:colOff>
      <xdr:row>26</xdr:row>
      <xdr:rowOff>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C4DC903A-7A1B-49C4-B476-5A241DDCD2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12</xdr:row>
      <xdr:rowOff>180975</xdr:rowOff>
    </xdr:from>
    <xdr:to>
      <xdr:col>12</xdr:col>
      <xdr:colOff>161925</xdr:colOff>
      <xdr:row>25</xdr:row>
      <xdr:rowOff>185738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C7DAA398-B3B9-4570-95F6-1C403EC4C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</xdr:colOff>
      <xdr:row>12</xdr:row>
      <xdr:rowOff>180975</xdr:rowOff>
    </xdr:from>
    <xdr:to>
      <xdr:col>18</xdr:col>
      <xdr:colOff>38100</xdr:colOff>
      <xdr:row>25</xdr:row>
      <xdr:rowOff>185738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04C98197-7125-4DAE-A3CB-835516B42A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185737</xdr:rowOff>
    </xdr:from>
    <xdr:to>
      <xdr:col>7</xdr:col>
      <xdr:colOff>0</xdr:colOff>
      <xdr:row>26</xdr:row>
      <xdr:rowOff>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7C5096E5-8C4C-433F-BC27-C0B8C5E1C5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12</xdr:row>
      <xdr:rowOff>180975</xdr:rowOff>
    </xdr:from>
    <xdr:to>
      <xdr:col>12</xdr:col>
      <xdr:colOff>161925</xdr:colOff>
      <xdr:row>25</xdr:row>
      <xdr:rowOff>185738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65801ED5-89F8-42B0-A3AA-1B27961E88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</xdr:colOff>
      <xdr:row>12</xdr:row>
      <xdr:rowOff>180975</xdr:rowOff>
    </xdr:from>
    <xdr:to>
      <xdr:col>18</xdr:col>
      <xdr:colOff>38100</xdr:colOff>
      <xdr:row>25</xdr:row>
      <xdr:rowOff>185738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A3464845-C351-4746-9A4E-14393D5DFB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185737</xdr:rowOff>
    </xdr:from>
    <xdr:to>
      <xdr:col>7</xdr:col>
      <xdr:colOff>0</xdr:colOff>
      <xdr:row>26</xdr:row>
      <xdr:rowOff>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2C1D5AC4-A844-4FE5-B01A-5083EA19B0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12</xdr:row>
      <xdr:rowOff>180975</xdr:rowOff>
    </xdr:from>
    <xdr:to>
      <xdr:col>12</xdr:col>
      <xdr:colOff>161925</xdr:colOff>
      <xdr:row>25</xdr:row>
      <xdr:rowOff>185738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15767DA6-061B-416F-A7E4-198E0D4792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</xdr:colOff>
      <xdr:row>12</xdr:row>
      <xdr:rowOff>180975</xdr:rowOff>
    </xdr:from>
    <xdr:to>
      <xdr:col>18</xdr:col>
      <xdr:colOff>38100</xdr:colOff>
      <xdr:row>25</xdr:row>
      <xdr:rowOff>185738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42A59E5E-85B7-40D6-9EA6-9701B80422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185737</xdr:rowOff>
    </xdr:from>
    <xdr:to>
      <xdr:col>7</xdr:col>
      <xdr:colOff>0</xdr:colOff>
      <xdr:row>26</xdr:row>
      <xdr:rowOff>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F4846966-F810-483F-A5B5-D9B03C7720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12</xdr:row>
      <xdr:rowOff>180975</xdr:rowOff>
    </xdr:from>
    <xdr:to>
      <xdr:col>12</xdr:col>
      <xdr:colOff>161925</xdr:colOff>
      <xdr:row>25</xdr:row>
      <xdr:rowOff>185738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F0AADF7A-4BF6-440C-8A41-23039110C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</xdr:colOff>
      <xdr:row>12</xdr:row>
      <xdr:rowOff>180975</xdr:rowOff>
    </xdr:from>
    <xdr:to>
      <xdr:col>18</xdr:col>
      <xdr:colOff>38100</xdr:colOff>
      <xdr:row>25</xdr:row>
      <xdr:rowOff>185738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2FA47FE5-0688-4DFD-8594-205A0B6F6A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3"/>
  <sheetViews>
    <sheetView workbookViewId="0">
      <selection activeCell="K16" sqref="K16"/>
    </sheetView>
  </sheetViews>
  <sheetFormatPr defaultRowHeight="15" x14ac:dyDescent="0.25"/>
  <cols>
    <col min="2" max="2" width="17.7109375" customWidth="1"/>
    <col min="3" max="3" width="15.7109375" customWidth="1"/>
    <col min="4" max="4" width="12.28515625" customWidth="1"/>
    <col min="5" max="5" width="13.140625" customWidth="1"/>
    <col min="6" max="6" width="9.85546875" customWidth="1"/>
    <col min="7" max="7" width="2" customWidth="1"/>
    <col min="8" max="8" width="23.42578125" bestFit="1" customWidth="1"/>
    <col min="9" max="9" width="2.7109375" customWidth="1"/>
    <col min="10" max="10" width="14.5703125" customWidth="1"/>
    <col min="11" max="11" width="21" customWidth="1"/>
    <col min="12" max="12" width="25.85546875" customWidth="1"/>
  </cols>
  <sheetData>
    <row r="2" spans="2:12" x14ac:dyDescent="0.25">
      <c r="B2" s="13" t="s">
        <v>22</v>
      </c>
    </row>
    <row r="3" spans="2:12" x14ac:dyDescent="0.25">
      <c r="B3" t="s">
        <v>23</v>
      </c>
    </row>
    <row r="4" spans="2:12" x14ac:dyDescent="0.25">
      <c r="B4" t="s">
        <v>24</v>
      </c>
    </row>
    <row r="5" spans="2:12" x14ac:dyDescent="0.25">
      <c r="B5" t="s">
        <v>25</v>
      </c>
    </row>
    <row r="7" spans="2:12" x14ac:dyDescent="0.25">
      <c r="B7" s="18" t="s">
        <v>32</v>
      </c>
      <c r="C7" s="18"/>
      <c r="D7" s="18"/>
      <c r="E7" s="18"/>
      <c r="F7" s="18"/>
      <c r="H7" s="14" t="s">
        <v>40</v>
      </c>
      <c r="J7" s="18" t="s">
        <v>41</v>
      </c>
      <c r="K7" s="18"/>
      <c r="L7" s="18"/>
    </row>
    <row r="8" spans="2:12" s="16" customFormat="1" ht="18" x14ac:dyDescent="0.25">
      <c r="B8" s="15" t="s">
        <v>21</v>
      </c>
      <c r="C8" s="15" t="s">
        <v>34</v>
      </c>
      <c r="D8" s="15" t="s">
        <v>33</v>
      </c>
      <c r="E8" s="15" t="s">
        <v>31</v>
      </c>
      <c r="F8" s="15" t="s">
        <v>35</v>
      </c>
      <c r="H8" s="15" t="s">
        <v>43</v>
      </c>
      <c r="J8" s="15" t="s">
        <v>39</v>
      </c>
      <c r="K8" s="15" t="s">
        <v>44</v>
      </c>
      <c r="L8" s="15" t="s">
        <v>45</v>
      </c>
    </row>
    <row r="9" spans="2:12" x14ac:dyDescent="0.25">
      <c r="B9" t="s">
        <v>26</v>
      </c>
      <c r="C9">
        <v>6.5</v>
      </c>
      <c r="D9">
        <v>8.1</v>
      </c>
      <c r="E9" s="4">
        <f>D9*C9</f>
        <v>52.65</v>
      </c>
      <c r="F9">
        <v>64</v>
      </c>
      <c r="H9" s="6">
        <f>'1S CP07'!B29</f>
        <v>6.3777261031688131</v>
      </c>
      <c r="J9" s="4">
        <f>AVERAGE('1S CP07'!$N$3:$N$12)</f>
        <v>8.099142405620487</v>
      </c>
      <c r="K9">
        <v>293.60000000000002</v>
      </c>
      <c r="L9" s="4">
        <f>K9/E9</f>
        <v>5.5764482431149105</v>
      </c>
    </row>
    <row r="10" spans="2:12" x14ac:dyDescent="0.25">
      <c r="B10" t="s">
        <v>27</v>
      </c>
      <c r="C10">
        <v>7.2</v>
      </c>
      <c r="D10">
        <v>6.2</v>
      </c>
      <c r="E10" s="4">
        <f>D10*C10</f>
        <v>44.64</v>
      </c>
      <c r="F10">
        <v>36</v>
      </c>
      <c r="H10" s="6">
        <f>'1S CP10'!B29</f>
        <v>3.7724925929185367</v>
      </c>
      <c r="J10" s="4">
        <f>AVERAGE('1S CP10'!$N$3:$N$12)</f>
        <v>3.3663227161081535</v>
      </c>
      <c r="K10">
        <v>206.6</v>
      </c>
      <c r="L10" s="4">
        <f t="shared" ref="L10:L13" si="0">K10/E10</f>
        <v>4.6281362007168454</v>
      </c>
    </row>
    <row r="11" spans="2:12" x14ac:dyDescent="0.25">
      <c r="B11" t="s">
        <v>30</v>
      </c>
      <c r="C11">
        <v>11.2</v>
      </c>
      <c r="D11">
        <v>11.2</v>
      </c>
      <c r="E11" s="4">
        <f>D11*C11</f>
        <v>125.43999999999998</v>
      </c>
      <c r="F11">
        <v>36</v>
      </c>
      <c r="H11" s="6">
        <f>'1S MGM250'!B29</f>
        <v>3.067433552231726</v>
      </c>
      <c r="J11" s="4">
        <f>AVERAGE('1S MGM250'!$N$3:$N$12)</f>
        <v>2.1687940268304273</v>
      </c>
      <c r="K11">
        <v>212.4</v>
      </c>
      <c r="L11" s="4">
        <f>K11/E11</f>
        <v>1.6932397959183676</v>
      </c>
    </row>
    <row r="12" spans="2:12" x14ac:dyDescent="0.25">
      <c r="B12" t="s">
        <v>28</v>
      </c>
      <c r="C12">
        <v>9.8000000000000007</v>
      </c>
      <c r="D12">
        <v>9.8000000000000007</v>
      </c>
      <c r="E12" s="4">
        <f t="shared" ref="E12:E13" si="1">D12*C12</f>
        <v>96.04000000000002</v>
      </c>
      <c r="F12">
        <v>127</v>
      </c>
      <c r="H12" s="6">
        <f>'1S 1MD04'!B29</f>
        <v>18.713382597924067</v>
      </c>
      <c r="J12" s="4">
        <f>AVERAGE('1S 1MD04'!$N$3:$N$12)</f>
        <v>37.00444181177194</v>
      </c>
      <c r="K12">
        <v>522.1</v>
      </c>
      <c r="L12" s="4">
        <f t="shared" si="0"/>
        <v>5.4362765514369</v>
      </c>
    </row>
    <row r="13" spans="2:12" x14ac:dyDescent="0.25">
      <c r="B13" t="s">
        <v>29</v>
      </c>
      <c r="C13">
        <v>13</v>
      </c>
      <c r="D13">
        <v>13</v>
      </c>
      <c r="E13" s="4">
        <f t="shared" si="1"/>
        <v>169</v>
      </c>
      <c r="F13">
        <v>127</v>
      </c>
      <c r="H13" s="6">
        <f>'1S 1MD06'!B29</f>
        <v>12.92855878186969</v>
      </c>
      <c r="J13" s="4">
        <f>AVERAGE('1S 1MD06'!$N$3:$N$12)</f>
        <v>19.31556739584672</v>
      </c>
      <c r="K13">
        <v>468.4</v>
      </c>
      <c r="L13" s="4">
        <f t="shared" si="0"/>
        <v>2.7715976331360945</v>
      </c>
    </row>
  </sheetData>
  <mergeCells count="2">
    <mergeCell ref="B7:F7"/>
    <mergeCell ref="J7:L7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D2657-3A37-4866-A7BB-82B6F622D3F4}">
  <dimension ref="B1:W43"/>
  <sheetViews>
    <sheetView tabSelected="1" workbookViewId="0">
      <selection activeCell="U14" sqref="U14"/>
    </sheetView>
  </sheetViews>
  <sheetFormatPr defaultRowHeight="15" x14ac:dyDescent="0.25"/>
  <cols>
    <col min="1" max="1" width="4.85546875" customWidth="1"/>
    <col min="3" max="3" width="9.7109375" customWidth="1"/>
    <col min="5" max="5" width="5.140625" customWidth="1"/>
    <col min="6" max="6" width="9.5703125" customWidth="1"/>
    <col min="7" max="7" width="9.7109375" customWidth="1"/>
    <col min="9" max="9" width="7" customWidth="1"/>
    <col min="11" max="11" width="11" bestFit="1" customWidth="1"/>
    <col min="15" max="15" width="12.5703125" customWidth="1"/>
    <col min="16" max="16" width="12" bestFit="1" customWidth="1"/>
    <col min="19" max="19" width="8.5703125" customWidth="1"/>
  </cols>
  <sheetData>
    <row r="1" spans="2:21" x14ac:dyDescent="0.25">
      <c r="B1" s="18" t="s">
        <v>0</v>
      </c>
      <c r="C1" s="18"/>
      <c r="D1" s="18"/>
      <c r="F1" s="18" t="s">
        <v>1</v>
      </c>
      <c r="G1" s="18"/>
      <c r="H1" s="18"/>
      <c r="J1" s="18" t="s">
        <v>2</v>
      </c>
      <c r="K1" s="18"/>
      <c r="M1" s="18" t="s">
        <v>3</v>
      </c>
      <c r="N1" s="18"/>
      <c r="O1" s="18"/>
    </row>
    <row r="2" spans="2:21" ht="18" x14ac:dyDescent="0.25">
      <c r="B2" s="1" t="s">
        <v>4</v>
      </c>
      <c r="C2" s="1" t="s">
        <v>5</v>
      </c>
      <c r="D2" s="2" t="s">
        <v>6</v>
      </c>
      <c r="E2" s="2"/>
      <c r="F2" s="1" t="s">
        <v>4</v>
      </c>
      <c r="G2" s="1" t="s">
        <v>5</v>
      </c>
      <c r="H2" s="2" t="s">
        <v>6</v>
      </c>
      <c r="J2" s="2" t="s">
        <v>7</v>
      </c>
      <c r="K2" s="2" t="s">
        <v>8</v>
      </c>
      <c r="M2" s="2" t="s">
        <v>9</v>
      </c>
      <c r="N2" s="2" t="s">
        <v>10</v>
      </c>
      <c r="O2" s="2" t="s">
        <v>11</v>
      </c>
      <c r="P2" s="2" t="s">
        <v>12</v>
      </c>
    </row>
    <row r="3" spans="2:21" x14ac:dyDescent="0.25">
      <c r="B3">
        <v>35</v>
      </c>
      <c r="C3">
        <v>20</v>
      </c>
      <c r="D3" s="3">
        <f>B3-C3</f>
        <v>15</v>
      </c>
      <c r="F3" s="4">
        <v>35</v>
      </c>
      <c r="G3" s="4">
        <v>20.100000000000001</v>
      </c>
      <c r="H3" s="5">
        <f>F3-G3</f>
        <v>14.899999999999999</v>
      </c>
      <c r="J3" s="4">
        <v>94.9</v>
      </c>
      <c r="K3" s="4">
        <v>54.4</v>
      </c>
      <c r="M3" s="6">
        <f t="shared" ref="M3:M6" si="0">ABS(K3)/10.3</f>
        <v>5.2815533980582519</v>
      </c>
      <c r="N3" s="6">
        <f>ABS(J3*10^-3)/(M3*10^-3)-$I$32</f>
        <v>7.668198529411768</v>
      </c>
      <c r="O3" s="6">
        <f>ABS(K3*10^-3)*ABS(M3*10^-3)*10^6</f>
        <v>287.31650485436887</v>
      </c>
      <c r="P3" s="6">
        <f>(J3*J3)/(4*N3)</f>
        <v>293.61557233609</v>
      </c>
      <c r="Q3" s="6"/>
      <c r="R3" s="6"/>
      <c r="U3" s="7"/>
    </row>
    <row r="4" spans="2:21" x14ac:dyDescent="0.25">
      <c r="B4">
        <v>35</v>
      </c>
      <c r="C4">
        <v>22</v>
      </c>
      <c r="D4" s="3">
        <f t="shared" ref="D4:D12" si="1">B4-C4</f>
        <v>13</v>
      </c>
      <c r="F4" s="4">
        <v>35</v>
      </c>
      <c r="G4" s="4">
        <v>22.1</v>
      </c>
      <c r="H4" s="5">
        <f t="shared" ref="H4:H12" si="2">F4-G4</f>
        <v>12.899999999999999</v>
      </c>
      <c r="J4" s="4">
        <v>82</v>
      </c>
      <c r="K4" s="4">
        <v>46.8</v>
      </c>
      <c r="M4" s="6">
        <f t="shared" si="0"/>
        <v>4.5436893203883493</v>
      </c>
      <c r="N4" s="6">
        <f t="shared" ref="N4:N12" si="3">ABS(J4*10^-3)/(M4*10^-3)-$I$32</f>
        <v>7.7470085470085479</v>
      </c>
      <c r="O4" s="6">
        <f t="shared" ref="O4:O12" si="4">ABS(K4*10^-3)*ABS(M4*10^-3)*10^6</f>
        <v>212.64466019417478</v>
      </c>
      <c r="P4" s="6">
        <f t="shared" ref="P4:P12" si="5">(J4*J4)/(4*N4)</f>
        <v>216.98698146513678</v>
      </c>
      <c r="Q4" s="6"/>
      <c r="R4" s="6"/>
    </row>
    <row r="5" spans="2:21" x14ac:dyDescent="0.25">
      <c r="B5">
        <v>35</v>
      </c>
      <c r="C5">
        <v>24</v>
      </c>
      <c r="D5" s="3">
        <f t="shared" si="1"/>
        <v>11</v>
      </c>
      <c r="F5" s="4">
        <v>35</v>
      </c>
      <c r="G5" s="4">
        <v>23.5</v>
      </c>
      <c r="H5" s="5">
        <f t="shared" si="2"/>
        <v>11.5</v>
      </c>
      <c r="J5" s="4">
        <v>73.2</v>
      </c>
      <c r="K5" s="4">
        <v>40.5</v>
      </c>
      <c r="M5" s="6">
        <f t="shared" si="0"/>
        <v>3.9320388349514559</v>
      </c>
      <c r="N5" s="6">
        <f t="shared" si="3"/>
        <v>8.3162962962962972</v>
      </c>
      <c r="O5" s="6">
        <f t="shared" si="4"/>
        <v>159.24757281553397</v>
      </c>
      <c r="P5" s="6">
        <f t="shared" si="5"/>
        <v>161.07651198004811</v>
      </c>
      <c r="Q5" s="6"/>
      <c r="R5" s="6"/>
      <c r="U5" s="9"/>
    </row>
    <row r="6" spans="2:21" x14ac:dyDescent="0.25">
      <c r="B6">
        <v>35</v>
      </c>
      <c r="C6">
        <v>26</v>
      </c>
      <c r="D6" s="3">
        <f t="shared" si="1"/>
        <v>9</v>
      </c>
      <c r="F6" s="4">
        <v>35.1</v>
      </c>
      <c r="G6" s="4">
        <v>25.8</v>
      </c>
      <c r="H6" s="5">
        <f t="shared" si="2"/>
        <v>9.3000000000000007</v>
      </c>
      <c r="J6" s="4">
        <v>59.3</v>
      </c>
      <c r="K6" s="4">
        <v>33.700000000000003</v>
      </c>
      <c r="M6" s="6">
        <f t="shared" si="0"/>
        <v>3.2718446601941746</v>
      </c>
      <c r="N6" s="6">
        <f t="shared" si="3"/>
        <v>7.8243323442136479</v>
      </c>
      <c r="O6" s="6">
        <f t="shared" si="4"/>
        <v>110.2611650485437</v>
      </c>
      <c r="P6" s="6">
        <f t="shared" si="5"/>
        <v>112.3575100500607</v>
      </c>
      <c r="Q6" s="6"/>
      <c r="R6" s="6"/>
    </row>
    <row r="7" spans="2:21" x14ac:dyDescent="0.25">
      <c r="B7">
        <v>35</v>
      </c>
      <c r="C7">
        <v>28</v>
      </c>
      <c r="D7" s="3">
        <f t="shared" si="1"/>
        <v>7</v>
      </c>
      <c r="F7" s="4">
        <v>35.1</v>
      </c>
      <c r="G7" s="4">
        <v>27.7</v>
      </c>
      <c r="H7" s="5">
        <f t="shared" si="2"/>
        <v>7.4000000000000021</v>
      </c>
      <c r="J7" s="4">
        <v>48</v>
      </c>
      <c r="K7" s="4">
        <v>26.9</v>
      </c>
      <c r="M7" s="6">
        <f>ABS(K7)/10.3</f>
        <v>2.6116504854368929</v>
      </c>
      <c r="N7" s="6">
        <f t="shared" si="3"/>
        <v>8.0791821561338288</v>
      </c>
      <c r="O7" s="6">
        <f t="shared" si="4"/>
        <v>70.253398058252429</v>
      </c>
      <c r="P7" s="6">
        <f t="shared" si="5"/>
        <v>71.29434500529149</v>
      </c>
      <c r="Q7" s="6"/>
      <c r="R7" s="6"/>
    </row>
    <row r="8" spans="2:21" x14ac:dyDescent="0.25">
      <c r="B8">
        <v>35</v>
      </c>
      <c r="C8">
        <v>30</v>
      </c>
      <c r="D8" s="3">
        <f t="shared" si="1"/>
        <v>5</v>
      </c>
      <c r="F8" s="4">
        <v>35.1</v>
      </c>
      <c r="G8" s="4">
        <v>29.8</v>
      </c>
      <c r="H8" s="5">
        <f t="shared" si="2"/>
        <v>5.3000000000000007</v>
      </c>
      <c r="J8" s="4">
        <v>34</v>
      </c>
      <c r="K8" s="4">
        <v>19</v>
      </c>
      <c r="M8" s="6">
        <f t="shared" ref="M8:M12" si="6">ABS(K8)/10.3</f>
        <v>1.8446601941747571</v>
      </c>
      <c r="N8" s="6">
        <f t="shared" si="3"/>
        <v>8.1315789473684248</v>
      </c>
      <c r="O8" s="6">
        <f t="shared" si="4"/>
        <v>35.048543689320383</v>
      </c>
      <c r="P8" s="6">
        <f t="shared" si="5"/>
        <v>35.540453074433643</v>
      </c>
      <c r="Q8" s="6"/>
      <c r="R8" s="6"/>
    </row>
    <row r="9" spans="2:21" x14ac:dyDescent="0.25">
      <c r="B9">
        <v>35</v>
      </c>
      <c r="C9">
        <v>31</v>
      </c>
      <c r="D9" s="3">
        <f t="shared" si="1"/>
        <v>4</v>
      </c>
      <c r="F9" s="4">
        <v>35</v>
      </c>
      <c r="G9" s="4">
        <v>30.6</v>
      </c>
      <c r="H9" s="5">
        <f t="shared" si="2"/>
        <v>4.3999999999999986</v>
      </c>
      <c r="J9" s="4">
        <v>28.3</v>
      </c>
      <c r="K9" s="4">
        <v>15.6</v>
      </c>
      <c r="M9" s="6">
        <f t="shared" si="6"/>
        <v>1.5145631067961163</v>
      </c>
      <c r="N9" s="6">
        <f t="shared" si="3"/>
        <v>8.3852564102564138</v>
      </c>
      <c r="O9" s="6">
        <f t="shared" si="4"/>
        <v>23.627184466019415</v>
      </c>
      <c r="P9" s="6">
        <f t="shared" si="5"/>
        <v>23.877922177203569</v>
      </c>
      <c r="Q9" s="6"/>
      <c r="R9" s="6"/>
    </row>
    <row r="10" spans="2:21" x14ac:dyDescent="0.25">
      <c r="B10">
        <v>35</v>
      </c>
      <c r="C10">
        <v>32</v>
      </c>
      <c r="D10" s="3">
        <f t="shared" si="1"/>
        <v>3</v>
      </c>
      <c r="F10" s="4">
        <v>35</v>
      </c>
      <c r="G10" s="4">
        <v>31.6</v>
      </c>
      <c r="H10" s="5">
        <f t="shared" si="2"/>
        <v>3.3999999999999986</v>
      </c>
      <c r="J10" s="4">
        <v>20.7</v>
      </c>
      <c r="K10" s="4">
        <v>11.7</v>
      </c>
      <c r="M10" s="6">
        <f t="shared" si="6"/>
        <v>1.1359223300970873</v>
      </c>
      <c r="N10" s="6">
        <f t="shared" si="3"/>
        <v>7.9230769230769234</v>
      </c>
      <c r="O10" s="6">
        <f t="shared" si="4"/>
        <v>13.290291262135923</v>
      </c>
      <c r="P10" s="6">
        <f t="shared" si="5"/>
        <v>13.520315533980581</v>
      </c>
      <c r="Q10" s="6"/>
      <c r="R10" s="6"/>
    </row>
    <row r="11" spans="2:21" x14ac:dyDescent="0.25">
      <c r="B11">
        <v>35</v>
      </c>
      <c r="C11">
        <v>33</v>
      </c>
      <c r="D11" s="3">
        <f t="shared" si="1"/>
        <v>2</v>
      </c>
      <c r="F11" s="4">
        <v>35</v>
      </c>
      <c r="G11" s="4">
        <v>32.799999999999997</v>
      </c>
      <c r="H11" s="5">
        <f t="shared" si="2"/>
        <v>2.2000000000000028</v>
      </c>
      <c r="J11" s="4">
        <v>14.7</v>
      </c>
      <c r="K11" s="4">
        <v>8</v>
      </c>
      <c r="M11" s="6">
        <f t="shared" si="6"/>
        <v>0.77669902912621358</v>
      </c>
      <c r="N11" s="6">
        <f t="shared" si="3"/>
        <v>8.6262499999999989</v>
      </c>
      <c r="O11" s="6">
        <f t="shared" si="4"/>
        <v>6.2135922330097086</v>
      </c>
      <c r="P11" s="6">
        <f t="shared" si="5"/>
        <v>6.2625706419359517</v>
      </c>
      <c r="Q11" s="6"/>
      <c r="R11" s="6"/>
    </row>
    <row r="12" spans="2:21" x14ac:dyDescent="0.25">
      <c r="B12">
        <v>35</v>
      </c>
      <c r="C12">
        <v>34</v>
      </c>
      <c r="D12" s="3">
        <f t="shared" si="1"/>
        <v>1</v>
      </c>
      <c r="F12" s="4">
        <v>35</v>
      </c>
      <c r="G12" s="4">
        <v>34</v>
      </c>
      <c r="H12" s="5">
        <f t="shared" si="2"/>
        <v>1</v>
      </c>
      <c r="J12" s="10">
        <v>7.4</v>
      </c>
      <c r="K12" s="10">
        <v>4.0999999999999996</v>
      </c>
      <c r="M12" s="6">
        <f t="shared" si="6"/>
        <v>0.3980582524271844</v>
      </c>
      <c r="N12" s="6">
        <f t="shared" si="3"/>
        <v>8.2902439024390269</v>
      </c>
      <c r="O12" s="6">
        <f t="shared" si="4"/>
        <v>1.6320388349514559</v>
      </c>
      <c r="P12" s="6">
        <f t="shared" si="5"/>
        <v>1.6513386290085317</v>
      </c>
      <c r="Q12" s="6"/>
      <c r="R12" s="6"/>
    </row>
    <row r="13" spans="2:21" x14ac:dyDescent="0.25">
      <c r="D13" s="3"/>
      <c r="F13" s="11"/>
      <c r="G13" s="11"/>
      <c r="H13" s="5"/>
      <c r="J13" s="11"/>
      <c r="K13" s="11"/>
      <c r="N13" s="4"/>
      <c r="O13" s="6"/>
    </row>
    <row r="15" spans="2:21" x14ac:dyDescent="0.25">
      <c r="D15" s="3"/>
      <c r="F15" s="4"/>
      <c r="G15" s="4"/>
      <c r="H15" s="10"/>
      <c r="J15" s="4"/>
      <c r="N15" s="4"/>
      <c r="O15" s="6"/>
    </row>
    <row r="16" spans="2:21" x14ac:dyDescent="0.25">
      <c r="D16" s="3"/>
      <c r="G16" s="4"/>
      <c r="H16" s="10"/>
      <c r="J16" s="4"/>
      <c r="N16" s="4"/>
      <c r="O16" s="6"/>
    </row>
    <row r="17" spans="2:15" x14ac:dyDescent="0.25">
      <c r="D17" s="3"/>
      <c r="F17" s="4"/>
      <c r="G17" s="4"/>
      <c r="H17" s="10"/>
      <c r="J17" s="4"/>
      <c r="N17" s="4"/>
      <c r="O17" s="6"/>
    </row>
    <row r="18" spans="2:15" x14ac:dyDescent="0.25">
      <c r="D18" s="3"/>
      <c r="F18" s="4"/>
      <c r="G18" s="4"/>
      <c r="H18" s="10"/>
      <c r="J18" s="4"/>
      <c r="N18" s="4"/>
      <c r="O18" s="6"/>
    </row>
    <row r="19" spans="2:15" x14ac:dyDescent="0.25">
      <c r="D19" s="3"/>
      <c r="F19" s="4"/>
      <c r="G19" s="4"/>
      <c r="H19" s="10"/>
      <c r="J19" s="4"/>
      <c r="N19" s="4"/>
      <c r="O19" s="6"/>
    </row>
    <row r="20" spans="2:15" x14ac:dyDescent="0.25">
      <c r="D20" s="3"/>
      <c r="F20" s="4"/>
      <c r="G20" s="4"/>
      <c r="H20" s="10"/>
      <c r="J20" s="4"/>
      <c r="N20" s="4"/>
      <c r="O20" s="6"/>
    </row>
    <row r="21" spans="2:15" x14ac:dyDescent="0.25">
      <c r="D21" s="3"/>
      <c r="F21" s="4"/>
      <c r="G21" s="4"/>
      <c r="H21" s="10"/>
      <c r="J21" s="4"/>
      <c r="N21" s="4"/>
      <c r="O21" s="6"/>
    </row>
    <row r="22" spans="2:15" x14ac:dyDescent="0.25">
      <c r="D22" s="3"/>
      <c r="F22" s="4"/>
      <c r="G22" s="4"/>
      <c r="H22" s="10"/>
      <c r="J22" s="4"/>
      <c r="N22" s="4"/>
      <c r="O22" s="6"/>
    </row>
    <row r="23" spans="2:15" x14ac:dyDescent="0.25">
      <c r="D23" s="3"/>
      <c r="F23" s="4"/>
      <c r="G23" s="4"/>
      <c r="H23" s="10"/>
      <c r="J23" s="4"/>
      <c r="N23" s="4"/>
      <c r="O23" s="6"/>
    </row>
    <row r="24" spans="2:15" x14ac:dyDescent="0.25">
      <c r="D24" s="3"/>
      <c r="F24" s="4"/>
      <c r="G24" s="4"/>
      <c r="H24" s="10"/>
      <c r="J24" s="4"/>
      <c r="N24" s="4"/>
      <c r="O24" s="6"/>
    </row>
    <row r="28" spans="2:15" x14ac:dyDescent="0.25">
      <c r="B28" s="19" t="s">
        <v>42</v>
      </c>
      <c r="C28" s="19"/>
    </row>
    <row r="29" spans="2:15" x14ac:dyDescent="0.25">
      <c r="B29" s="17" cm="1">
        <f t="array" ref="B29:C29">LINEST(J3:J12,H3:H12,0)</f>
        <v>6.3777261031688131</v>
      </c>
      <c r="C29">
        <v>0</v>
      </c>
      <c r="K29" s="12"/>
      <c r="L29" s="3"/>
    </row>
    <row r="30" spans="2:15" x14ac:dyDescent="0.25">
      <c r="B30" s="12"/>
      <c r="C30" s="12"/>
      <c r="D30" s="12"/>
      <c r="E30" s="12"/>
      <c r="F30" s="12"/>
      <c r="G30" s="12"/>
      <c r="I30" s="12"/>
      <c r="J30" s="12"/>
      <c r="K30" s="12"/>
      <c r="L30" s="3"/>
    </row>
    <row r="31" spans="2:15" x14ac:dyDescent="0.25">
      <c r="B31" s="13" t="s">
        <v>13</v>
      </c>
      <c r="G31" s="13"/>
      <c r="I31" s="19" t="s">
        <v>14</v>
      </c>
      <c r="J31" s="19"/>
      <c r="K31" s="12"/>
      <c r="L31" s="3"/>
    </row>
    <row r="32" spans="2:15" x14ac:dyDescent="0.25">
      <c r="B32" t="s">
        <v>15</v>
      </c>
      <c r="D32" t="s">
        <v>16</v>
      </c>
      <c r="I32">
        <v>10.3</v>
      </c>
      <c r="J32" t="s">
        <v>17</v>
      </c>
      <c r="K32" s="12"/>
      <c r="L32" s="3"/>
    </row>
    <row r="33" spans="2:23" x14ac:dyDescent="0.25">
      <c r="B33" t="s">
        <v>19</v>
      </c>
      <c r="I33" s="12"/>
      <c r="J33" s="12"/>
      <c r="K33" s="12"/>
      <c r="L33" s="3"/>
    </row>
    <row r="35" spans="2:23" x14ac:dyDescent="0.25">
      <c r="H35" s="13"/>
    </row>
    <row r="43" spans="2:23" x14ac:dyDescent="0.25">
      <c r="T43" t="s">
        <v>20</v>
      </c>
      <c r="U43">
        <v>29.88</v>
      </c>
      <c r="V43">
        <v>34.85</v>
      </c>
      <c r="W43">
        <v>4.9800000000000004</v>
      </c>
    </row>
  </sheetData>
  <mergeCells count="6">
    <mergeCell ref="B1:D1"/>
    <mergeCell ref="F1:H1"/>
    <mergeCell ref="J1:K1"/>
    <mergeCell ref="M1:O1"/>
    <mergeCell ref="I31:J31"/>
    <mergeCell ref="B28:C28"/>
  </mergeCells>
  <conditionalFormatting sqref="R3:R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EBC4F-2F19-4659-ABD0-48F8502B7FFC}">
  <dimension ref="B1:W43"/>
  <sheetViews>
    <sheetView workbookViewId="0">
      <selection activeCell="F29" sqref="F29"/>
    </sheetView>
  </sheetViews>
  <sheetFormatPr defaultRowHeight="15" x14ac:dyDescent="0.25"/>
  <cols>
    <col min="1" max="1" width="4.85546875" customWidth="1"/>
    <col min="3" max="3" width="9.7109375" customWidth="1"/>
    <col min="5" max="5" width="5.140625" customWidth="1"/>
    <col min="6" max="6" width="9.5703125" customWidth="1"/>
    <col min="7" max="7" width="9.7109375" customWidth="1"/>
    <col min="9" max="9" width="7" customWidth="1"/>
    <col min="11" max="11" width="11" bestFit="1" customWidth="1"/>
    <col min="15" max="15" width="12.5703125" customWidth="1"/>
    <col min="16" max="16" width="12" bestFit="1" customWidth="1"/>
    <col min="19" max="19" width="8.5703125" customWidth="1"/>
  </cols>
  <sheetData>
    <row r="1" spans="2:21" x14ac:dyDescent="0.25">
      <c r="B1" s="18" t="s">
        <v>0</v>
      </c>
      <c r="C1" s="18"/>
      <c r="D1" s="18"/>
      <c r="F1" s="18" t="s">
        <v>1</v>
      </c>
      <c r="G1" s="18"/>
      <c r="H1" s="18"/>
      <c r="J1" s="18" t="s">
        <v>2</v>
      </c>
      <c r="K1" s="18"/>
      <c r="M1" s="18" t="s">
        <v>3</v>
      </c>
      <c r="N1" s="18"/>
      <c r="O1" s="18"/>
    </row>
    <row r="2" spans="2:21" ht="18" x14ac:dyDescent="0.25">
      <c r="B2" s="1" t="s">
        <v>4</v>
      </c>
      <c r="C2" s="1" t="s">
        <v>5</v>
      </c>
      <c r="D2" s="2" t="s">
        <v>6</v>
      </c>
      <c r="E2" s="2"/>
      <c r="F2" s="1" t="s">
        <v>4</v>
      </c>
      <c r="G2" s="1" t="s">
        <v>5</v>
      </c>
      <c r="H2" s="2" t="s">
        <v>6</v>
      </c>
      <c r="J2" s="2" t="s">
        <v>7</v>
      </c>
      <c r="K2" s="2" t="s">
        <v>8</v>
      </c>
      <c r="M2" s="2" t="s">
        <v>9</v>
      </c>
      <c r="N2" s="2" t="s">
        <v>10</v>
      </c>
      <c r="O2" s="2" t="s">
        <v>11</v>
      </c>
      <c r="P2" s="2" t="s">
        <v>12</v>
      </c>
    </row>
    <row r="3" spans="2:21" x14ac:dyDescent="0.25">
      <c r="B3">
        <v>35</v>
      </c>
      <c r="C3">
        <v>20</v>
      </c>
      <c r="D3" s="3">
        <f>B3-C3</f>
        <v>15</v>
      </c>
      <c r="F3" s="4">
        <v>35.5</v>
      </c>
      <c r="G3" s="4">
        <v>20.7</v>
      </c>
      <c r="H3" s="5">
        <f>F3-G3</f>
        <v>14.8</v>
      </c>
      <c r="J3" s="4">
        <v>58.1</v>
      </c>
      <c r="K3" s="4">
        <v>41.6</v>
      </c>
      <c r="M3" s="6">
        <f t="shared" ref="M3:M6" si="0">ABS(K3)/10.3</f>
        <v>4.0388349514563107</v>
      </c>
      <c r="N3" s="6">
        <f t="shared" ref="N3:N12" si="1">ABS(J3*10^-3)/(M3*10^-3)-$I$32</f>
        <v>4.0853365384615383</v>
      </c>
      <c r="O3" s="6">
        <f t="shared" ref="O3:O12" si="2">ABS(K3*10^-3)*ABS(M3*10^-3)*10^6</f>
        <v>168.01553398058255</v>
      </c>
      <c r="P3" s="6">
        <f t="shared" ref="P3:P12" si="3">(J3*J3)/(4*N3)</f>
        <v>206.56866137099149</v>
      </c>
      <c r="Q3" s="6"/>
      <c r="R3" s="6"/>
      <c r="U3" s="7"/>
    </row>
    <row r="4" spans="2:21" x14ac:dyDescent="0.25">
      <c r="B4">
        <v>35</v>
      </c>
      <c r="C4">
        <v>22</v>
      </c>
      <c r="D4" s="3">
        <f t="shared" ref="D4:D12" si="4">B4-C4</f>
        <v>13</v>
      </c>
      <c r="F4" s="4">
        <v>34.9</v>
      </c>
      <c r="G4" s="4">
        <v>22.2</v>
      </c>
      <c r="H4" s="5">
        <f t="shared" ref="H4:H12" si="5">F4-G4</f>
        <v>12.7</v>
      </c>
      <c r="J4" s="4">
        <v>46.5</v>
      </c>
      <c r="K4" s="4">
        <v>35.5</v>
      </c>
      <c r="M4" s="6">
        <f t="shared" si="0"/>
        <v>3.4466019417475726</v>
      </c>
      <c r="N4" s="6">
        <f t="shared" si="1"/>
        <v>3.1915492957746476</v>
      </c>
      <c r="O4" s="6">
        <f t="shared" si="2"/>
        <v>122.35436893203884</v>
      </c>
      <c r="P4" s="6">
        <f t="shared" si="3"/>
        <v>169.37306928508386</v>
      </c>
      <c r="Q4" s="6"/>
      <c r="R4" s="6"/>
    </row>
    <row r="5" spans="2:21" x14ac:dyDescent="0.25">
      <c r="B5">
        <v>35</v>
      </c>
      <c r="C5">
        <v>24</v>
      </c>
      <c r="D5" s="3">
        <f t="shared" si="4"/>
        <v>11</v>
      </c>
      <c r="F5" s="4">
        <v>35</v>
      </c>
      <c r="G5" s="4">
        <v>24.2</v>
      </c>
      <c r="H5" s="5">
        <f t="shared" si="5"/>
        <v>10.8</v>
      </c>
      <c r="J5" s="4">
        <v>39.299999999999997</v>
      </c>
      <c r="K5" s="4">
        <v>29.8</v>
      </c>
      <c r="M5" s="6">
        <f t="shared" si="0"/>
        <v>2.8932038834951457</v>
      </c>
      <c r="N5" s="6">
        <f t="shared" si="1"/>
        <v>3.2835570469798636</v>
      </c>
      <c r="O5" s="6">
        <f t="shared" si="2"/>
        <v>86.217475728155335</v>
      </c>
      <c r="P5" s="6">
        <f t="shared" si="3"/>
        <v>117.5927491057742</v>
      </c>
      <c r="Q5" s="6"/>
      <c r="R5" s="6"/>
      <c r="T5" s="8"/>
      <c r="U5" s="9"/>
    </row>
    <row r="6" spans="2:21" x14ac:dyDescent="0.25">
      <c r="B6">
        <v>35</v>
      </c>
      <c r="C6">
        <v>26</v>
      </c>
      <c r="D6" s="3">
        <f t="shared" si="4"/>
        <v>9</v>
      </c>
      <c r="F6" s="4">
        <v>34.9</v>
      </c>
      <c r="G6" s="4">
        <v>25.9</v>
      </c>
      <c r="H6" s="5">
        <f t="shared" si="5"/>
        <v>9</v>
      </c>
      <c r="J6" s="4">
        <v>34</v>
      </c>
      <c r="K6" s="4">
        <v>26</v>
      </c>
      <c r="M6" s="6">
        <f t="shared" si="0"/>
        <v>2.5242718446601939</v>
      </c>
      <c r="N6" s="6">
        <f t="shared" si="1"/>
        <v>3.1692307692307704</v>
      </c>
      <c r="O6" s="6">
        <f t="shared" si="2"/>
        <v>65.631067961165058</v>
      </c>
      <c r="P6" s="6">
        <f t="shared" si="3"/>
        <v>91.189320388349486</v>
      </c>
      <c r="Q6" s="6"/>
      <c r="R6" s="6"/>
    </row>
    <row r="7" spans="2:21" x14ac:dyDescent="0.25">
      <c r="B7">
        <v>35</v>
      </c>
      <c r="C7">
        <v>28</v>
      </c>
      <c r="D7" s="3">
        <f t="shared" si="4"/>
        <v>7</v>
      </c>
      <c r="F7" s="4">
        <v>35</v>
      </c>
      <c r="G7" s="4">
        <v>28</v>
      </c>
      <c r="H7" s="5">
        <f t="shared" si="5"/>
        <v>7</v>
      </c>
      <c r="J7" s="4">
        <v>26.4</v>
      </c>
      <c r="K7" s="4">
        <v>20</v>
      </c>
      <c r="M7" s="6">
        <f>ABS(K7)/10.3</f>
        <v>1.9417475728155338</v>
      </c>
      <c r="N7" s="6">
        <f t="shared" si="1"/>
        <v>3.2959999999999994</v>
      </c>
      <c r="O7" s="6">
        <f t="shared" si="2"/>
        <v>38.834951456310677</v>
      </c>
      <c r="P7" s="6">
        <f t="shared" si="3"/>
        <v>52.864077669902919</v>
      </c>
      <c r="Q7" s="6"/>
      <c r="R7" s="6"/>
    </row>
    <row r="8" spans="2:21" x14ac:dyDescent="0.25">
      <c r="B8">
        <v>35</v>
      </c>
      <c r="C8">
        <v>30</v>
      </c>
      <c r="D8" s="3">
        <f t="shared" si="4"/>
        <v>5</v>
      </c>
      <c r="F8" s="4">
        <v>35</v>
      </c>
      <c r="G8" s="4">
        <v>30</v>
      </c>
      <c r="H8" s="5">
        <f t="shared" si="5"/>
        <v>5</v>
      </c>
      <c r="J8" s="4">
        <v>18.5</v>
      </c>
      <c r="K8" s="4">
        <v>14.5</v>
      </c>
      <c r="M8" s="6">
        <f t="shared" ref="M8:M12" si="6">ABS(K8)/10.3</f>
        <v>1.407766990291262</v>
      </c>
      <c r="N8" s="6">
        <f t="shared" si="1"/>
        <v>2.8413793103448288</v>
      </c>
      <c r="O8" s="6">
        <f t="shared" si="2"/>
        <v>20.412621359223298</v>
      </c>
      <c r="P8" s="6">
        <f t="shared" si="3"/>
        <v>30.113015776699015</v>
      </c>
      <c r="Q8" s="6"/>
      <c r="R8" s="6"/>
    </row>
    <row r="9" spans="2:21" x14ac:dyDescent="0.25">
      <c r="B9">
        <v>35</v>
      </c>
      <c r="C9">
        <v>31</v>
      </c>
      <c r="D9" s="3">
        <f t="shared" si="4"/>
        <v>4</v>
      </c>
      <c r="F9" s="4">
        <v>35</v>
      </c>
      <c r="G9" s="4">
        <v>31</v>
      </c>
      <c r="H9" s="5">
        <f t="shared" si="5"/>
        <v>4</v>
      </c>
      <c r="J9" s="4">
        <v>14.8</v>
      </c>
      <c r="K9" s="4">
        <v>11.1</v>
      </c>
      <c r="M9" s="6">
        <f t="shared" si="6"/>
        <v>1.0776699029126213</v>
      </c>
      <c r="N9" s="6">
        <f t="shared" si="1"/>
        <v>3.4333333333333353</v>
      </c>
      <c r="O9" s="6">
        <f t="shared" si="2"/>
        <v>11.962135922330097</v>
      </c>
      <c r="P9" s="6">
        <f t="shared" si="3"/>
        <v>15.949514563106789</v>
      </c>
      <c r="Q9" s="6"/>
      <c r="R9" s="6"/>
    </row>
    <row r="10" spans="2:21" x14ac:dyDescent="0.25">
      <c r="B10">
        <v>35</v>
      </c>
      <c r="C10">
        <v>32</v>
      </c>
      <c r="D10" s="3">
        <f t="shared" si="4"/>
        <v>3</v>
      </c>
      <c r="F10" s="4">
        <v>35</v>
      </c>
      <c r="G10" s="4">
        <v>32</v>
      </c>
      <c r="H10" s="5">
        <f t="shared" si="5"/>
        <v>3</v>
      </c>
      <c r="J10" s="4">
        <v>11.5</v>
      </c>
      <c r="K10" s="4">
        <v>8.6999999999999993</v>
      </c>
      <c r="M10" s="6">
        <f t="shared" si="6"/>
        <v>0.84466019417475713</v>
      </c>
      <c r="N10" s="6">
        <f t="shared" si="1"/>
        <v>3.3149425287356333</v>
      </c>
      <c r="O10" s="6">
        <f t="shared" si="2"/>
        <v>7.3485436893203868</v>
      </c>
      <c r="P10" s="6">
        <f t="shared" si="3"/>
        <v>9.9737777392510374</v>
      </c>
      <c r="Q10" s="6"/>
      <c r="R10" s="6"/>
    </row>
    <row r="11" spans="2:21" x14ac:dyDescent="0.25">
      <c r="B11">
        <v>35</v>
      </c>
      <c r="C11">
        <v>33</v>
      </c>
      <c r="D11" s="3">
        <f t="shared" si="4"/>
        <v>2</v>
      </c>
      <c r="F11" s="4">
        <v>35</v>
      </c>
      <c r="G11" s="4">
        <v>33</v>
      </c>
      <c r="H11" s="5">
        <f t="shared" si="5"/>
        <v>2</v>
      </c>
      <c r="J11" s="4">
        <v>8</v>
      </c>
      <c r="K11" s="4">
        <v>6.2</v>
      </c>
      <c r="M11" s="6">
        <f t="shared" si="6"/>
        <v>0.60194174757281549</v>
      </c>
      <c r="N11" s="6">
        <f t="shared" si="1"/>
        <v>2.9903225806451612</v>
      </c>
      <c r="O11" s="6">
        <f t="shared" si="2"/>
        <v>3.7320388349514571</v>
      </c>
      <c r="P11" s="6">
        <f t="shared" si="3"/>
        <v>5.3505933117583604</v>
      </c>
      <c r="Q11" s="6"/>
      <c r="R11" s="6"/>
    </row>
    <row r="12" spans="2:21" x14ac:dyDescent="0.25">
      <c r="B12">
        <v>35</v>
      </c>
      <c r="C12">
        <v>34</v>
      </c>
      <c r="D12" s="3">
        <f t="shared" si="4"/>
        <v>1</v>
      </c>
      <c r="F12" s="4">
        <v>35</v>
      </c>
      <c r="G12" s="4">
        <v>34.1</v>
      </c>
      <c r="H12" s="5">
        <f t="shared" si="5"/>
        <v>0.89999999999999858</v>
      </c>
      <c r="J12" s="10">
        <v>4.5999999999999996</v>
      </c>
      <c r="K12" s="10">
        <v>3.3</v>
      </c>
      <c r="M12" s="6">
        <f t="shared" si="6"/>
        <v>0.32038834951456308</v>
      </c>
      <c r="N12" s="6">
        <f t="shared" si="1"/>
        <v>4.0575757575757585</v>
      </c>
      <c r="O12" s="6">
        <f t="shared" si="2"/>
        <v>1.0572815533980582</v>
      </c>
      <c r="P12" s="6">
        <f t="shared" si="3"/>
        <v>1.3037341299477216</v>
      </c>
      <c r="Q12" s="6"/>
      <c r="R12" s="6"/>
    </row>
    <row r="13" spans="2:21" x14ac:dyDescent="0.25">
      <c r="D13" s="3"/>
      <c r="F13" s="11"/>
      <c r="G13" s="11"/>
      <c r="H13" s="5"/>
      <c r="J13" s="11"/>
      <c r="K13" s="11"/>
      <c r="N13" s="4"/>
      <c r="O13" s="6"/>
    </row>
    <row r="15" spans="2:21" x14ac:dyDescent="0.25">
      <c r="D15" s="3"/>
      <c r="F15" s="4"/>
      <c r="G15" s="4"/>
      <c r="H15" s="10"/>
      <c r="J15" s="4"/>
      <c r="N15" s="4"/>
      <c r="O15" s="6"/>
    </row>
    <row r="16" spans="2:21" x14ac:dyDescent="0.25">
      <c r="D16" s="3"/>
      <c r="G16" s="4"/>
      <c r="H16" s="10"/>
      <c r="J16" s="4"/>
      <c r="N16" s="4"/>
      <c r="O16" s="6"/>
    </row>
    <row r="17" spans="2:15" x14ac:dyDescent="0.25">
      <c r="D17" s="3"/>
      <c r="F17" s="4"/>
      <c r="G17" s="4"/>
      <c r="H17" s="10"/>
      <c r="J17" s="4"/>
      <c r="N17" s="4"/>
      <c r="O17" s="6"/>
    </row>
    <row r="18" spans="2:15" x14ac:dyDescent="0.25">
      <c r="D18" s="3"/>
      <c r="F18" s="4"/>
      <c r="G18" s="4"/>
      <c r="H18" s="10"/>
      <c r="J18" s="4"/>
      <c r="N18" s="4"/>
      <c r="O18" s="6"/>
    </row>
    <row r="19" spans="2:15" x14ac:dyDescent="0.25">
      <c r="D19" s="3"/>
      <c r="F19" s="4"/>
      <c r="G19" s="4"/>
      <c r="H19" s="10"/>
      <c r="J19" s="4"/>
      <c r="N19" s="4"/>
      <c r="O19" s="6"/>
    </row>
    <row r="20" spans="2:15" x14ac:dyDescent="0.25">
      <c r="D20" s="3"/>
      <c r="F20" s="4"/>
      <c r="G20" s="4"/>
      <c r="H20" s="10"/>
      <c r="J20" s="4"/>
      <c r="N20" s="4"/>
      <c r="O20" s="6"/>
    </row>
    <row r="21" spans="2:15" x14ac:dyDescent="0.25">
      <c r="D21" s="3"/>
      <c r="F21" s="4"/>
      <c r="G21" s="4"/>
      <c r="H21" s="10"/>
      <c r="J21" s="4"/>
      <c r="N21" s="4"/>
      <c r="O21" s="6"/>
    </row>
    <row r="22" spans="2:15" x14ac:dyDescent="0.25">
      <c r="D22" s="3"/>
      <c r="F22" s="4"/>
      <c r="G22" s="4"/>
      <c r="H22" s="10"/>
      <c r="J22" s="4"/>
      <c r="N22" s="4"/>
      <c r="O22" s="6"/>
    </row>
    <row r="23" spans="2:15" x14ac:dyDescent="0.25">
      <c r="D23" s="3"/>
      <c r="F23" s="4"/>
      <c r="G23" s="4"/>
      <c r="H23" s="10"/>
      <c r="J23" s="4"/>
      <c r="N23" s="4"/>
      <c r="O23" s="6"/>
    </row>
    <row r="24" spans="2:15" x14ac:dyDescent="0.25">
      <c r="D24" s="3"/>
      <c r="F24" s="4"/>
      <c r="G24" s="4"/>
      <c r="H24" s="10"/>
      <c r="J24" s="4"/>
      <c r="N24" s="4"/>
      <c r="O24" s="6"/>
    </row>
    <row r="28" spans="2:15" x14ac:dyDescent="0.25">
      <c r="B28" s="19" t="s">
        <v>42</v>
      </c>
      <c r="C28" s="19"/>
    </row>
    <row r="29" spans="2:15" x14ac:dyDescent="0.25">
      <c r="B29" s="17" cm="1">
        <f t="array" ref="B29:C29">LINEST(J3:J12,H3:H12,0)</f>
        <v>3.7724925929185367</v>
      </c>
      <c r="C29">
        <v>0</v>
      </c>
      <c r="K29" s="12"/>
      <c r="L29" s="3"/>
    </row>
    <row r="30" spans="2:15" x14ac:dyDescent="0.25">
      <c r="B30" s="12"/>
      <c r="C30" s="12"/>
      <c r="D30" s="12"/>
      <c r="E30" s="12"/>
      <c r="F30" s="12"/>
      <c r="G30" s="12"/>
      <c r="I30" s="12"/>
      <c r="J30" s="12"/>
      <c r="K30" s="12"/>
      <c r="L30" s="3"/>
    </row>
    <row r="31" spans="2:15" x14ac:dyDescent="0.25">
      <c r="B31" s="13" t="s">
        <v>13</v>
      </c>
      <c r="G31" s="13"/>
      <c r="I31" s="19" t="s">
        <v>14</v>
      </c>
      <c r="J31" s="19"/>
      <c r="K31" s="12"/>
      <c r="L31" s="3"/>
    </row>
    <row r="32" spans="2:15" x14ac:dyDescent="0.25">
      <c r="B32" t="s">
        <v>15</v>
      </c>
      <c r="D32" t="s">
        <v>36</v>
      </c>
      <c r="I32">
        <v>10.3</v>
      </c>
      <c r="J32" t="s">
        <v>17</v>
      </c>
      <c r="K32" s="12"/>
      <c r="L32" s="3" t="s">
        <v>18</v>
      </c>
    </row>
    <row r="33" spans="2:23" x14ac:dyDescent="0.25">
      <c r="B33" t="s">
        <v>19</v>
      </c>
      <c r="I33" s="12"/>
      <c r="J33" s="12"/>
      <c r="K33" s="12"/>
      <c r="L33" s="3"/>
    </row>
    <row r="35" spans="2:23" x14ac:dyDescent="0.25">
      <c r="H35" s="13"/>
    </row>
    <row r="43" spans="2:23" x14ac:dyDescent="0.25">
      <c r="T43" t="s">
        <v>20</v>
      </c>
      <c r="U43">
        <v>29.88</v>
      </c>
      <c r="V43">
        <v>34.85</v>
      </c>
      <c r="W43">
        <v>4.9800000000000004</v>
      </c>
    </row>
  </sheetData>
  <mergeCells count="6">
    <mergeCell ref="B1:D1"/>
    <mergeCell ref="F1:H1"/>
    <mergeCell ref="J1:K1"/>
    <mergeCell ref="M1:O1"/>
    <mergeCell ref="I31:J31"/>
    <mergeCell ref="B28:C28"/>
  </mergeCells>
  <conditionalFormatting sqref="R3:R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E58DD-ADC7-4912-85DA-48F2EBCEEDD3}">
  <dimension ref="B1:U35"/>
  <sheetViews>
    <sheetView workbookViewId="0">
      <selection activeCell="B29" sqref="B29"/>
    </sheetView>
  </sheetViews>
  <sheetFormatPr defaultRowHeight="15" x14ac:dyDescent="0.25"/>
  <cols>
    <col min="1" max="1" width="4.85546875" customWidth="1"/>
    <col min="3" max="3" width="9.7109375" customWidth="1"/>
    <col min="5" max="5" width="5.140625" customWidth="1"/>
    <col min="6" max="6" width="9.5703125" customWidth="1"/>
    <col min="7" max="7" width="9.7109375" customWidth="1"/>
    <col min="9" max="9" width="7" customWidth="1"/>
    <col min="11" max="11" width="11" bestFit="1" customWidth="1"/>
    <col min="12" max="12" width="11.5703125" bestFit="1" customWidth="1"/>
    <col min="15" max="15" width="12.5703125" customWidth="1"/>
    <col min="16" max="16" width="12" bestFit="1" customWidth="1"/>
    <col min="19" max="19" width="8.5703125" customWidth="1"/>
  </cols>
  <sheetData>
    <row r="1" spans="2:21" x14ac:dyDescent="0.25">
      <c r="B1" s="18" t="s">
        <v>0</v>
      </c>
      <c r="C1" s="18"/>
      <c r="D1" s="18"/>
      <c r="F1" s="18" t="s">
        <v>1</v>
      </c>
      <c r="G1" s="18"/>
      <c r="H1" s="18"/>
      <c r="J1" s="18" t="s">
        <v>2</v>
      </c>
      <c r="K1" s="18"/>
      <c r="M1" s="18" t="s">
        <v>3</v>
      </c>
      <c r="N1" s="18"/>
      <c r="O1" s="18"/>
    </row>
    <row r="2" spans="2:21" ht="18" x14ac:dyDescent="0.25">
      <c r="B2" s="1" t="s">
        <v>4</v>
      </c>
      <c r="C2" s="1" t="s">
        <v>5</v>
      </c>
      <c r="D2" s="2" t="s">
        <v>6</v>
      </c>
      <c r="E2" s="2"/>
      <c r="F2" s="1" t="s">
        <v>4</v>
      </c>
      <c r="G2" s="1" t="s">
        <v>5</v>
      </c>
      <c r="H2" s="2" t="s">
        <v>6</v>
      </c>
      <c r="J2" s="2" t="s">
        <v>7</v>
      </c>
      <c r="K2" s="2" t="s">
        <v>8</v>
      </c>
      <c r="M2" s="2" t="s">
        <v>9</v>
      </c>
      <c r="N2" s="2" t="s">
        <v>10</v>
      </c>
      <c r="O2" s="2" t="s">
        <v>11</v>
      </c>
      <c r="P2" s="2" t="s">
        <v>12</v>
      </c>
    </row>
    <row r="3" spans="2:21" x14ac:dyDescent="0.25">
      <c r="B3">
        <v>35</v>
      </c>
      <c r="C3">
        <v>20</v>
      </c>
      <c r="D3" s="3">
        <f>B3-C3</f>
        <v>15</v>
      </c>
      <c r="F3" s="4">
        <v>34.9</v>
      </c>
      <c r="G3" s="4">
        <v>20.399999999999999</v>
      </c>
      <c r="H3" s="5">
        <f>F3-G3</f>
        <v>14.5</v>
      </c>
      <c r="J3" s="4">
        <v>43</v>
      </c>
      <c r="K3" s="4">
        <v>35.5</v>
      </c>
      <c r="M3" s="6">
        <f t="shared" ref="M3:M6" si="0">ABS(K3)/10.3</f>
        <v>3.4466019417475726</v>
      </c>
      <c r="N3" s="6">
        <f t="shared" ref="N3:N12" si="1">ABS(J3*10^-3)/(M3*10^-3)-$I$32</f>
        <v>2.1760563380281699</v>
      </c>
      <c r="O3" s="6">
        <f t="shared" ref="O3:O12" si="2">ABS(K3*10^-3)*ABS(M3*10^-3)*10^6</f>
        <v>122.35436893203884</v>
      </c>
      <c r="P3" s="6">
        <f t="shared" ref="P3:P12" si="3">(J3*J3)/(4*N3)</f>
        <v>212.42556634304199</v>
      </c>
      <c r="Q3" s="6"/>
      <c r="R3" s="6"/>
      <c r="U3" s="7"/>
    </row>
    <row r="4" spans="2:21" x14ac:dyDescent="0.25">
      <c r="B4">
        <v>35</v>
      </c>
      <c r="C4">
        <v>22</v>
      </c>
      <c r="D4" s="3">
        <f t="shared" ref="D4:D12" si="4">B4-C4</f>
        <v>13</v>
      </c>
      <c r="F4" s="4">
        <v>35</v>
      </c>
      <c r="G4" s="4">
        <v>22.2</v>
      </c>
      <c r="H4" s="5">
        <f t="shared" ref="H4:H12" si="5">F4-G4</f>
        <v>12.8</v>
      </c>
      <c r="J4" s="4">
        <v>38.1</v>
      </c>
      <c r="K4" s="4">
        <v>31.7</v>
      </c>
      <c r="M4" s="6">
        <f t="shared" si="0"/>
        <v>3.0776699029126209</v>
      </c>
      <c r="N4" s="6">
        <f t="shared" si="1"/>
        <v>2.0794952681388033</v>
      </c>
      <c r="O4" s="6">
        <f t="shared" si="2"/>
        <v>97.562135922330086</v>
      </c>
      <c r="P4" s="6">
        <f t="shared" si="3"/>
        <v>174.51470342839789</v>
      </c>
      <c r="Q4" s="6"/>
      <c r="R4" s="6"/>
    </row>
    <row r="5" spans="2:21" x14ac:dyDescent="0.25">
      <c r="B5">
        <v>35</v>
      </c>
      <c r="C5">
        <v>24</v>
      </c>
      <c r="D5" s="3">
        <f t="shared" si="4"/>
        <v>11</v>
      </c>
      <c r="F5" s="4">
        <v>35</v>
      </c>
      <c r="G5" s="4">
        <v>24.3</v>
      </c>
      <c r="H5" s="5">
        <f t="shared" si="5"/>
        <v>10.7</v>
      </c>
      <c r="J5" s="4">
        <v>32.299999999999997</v>
      </c>
      <c r="K5" s="4">
        <v>27.2</v>
      </c>
      <c r="M5" s="6">
        <f t="shared" si="0"/>
        <v>2.6407766990291259</v>
      </c>
      <c r="N5" s="6">
        <f t="shared" si="1"/>
        <v>1.9312499999999986</v>
      </c>
      <c r="O5" s="6">
        <f t="shared" si="2"/>
        <v>71.829126213592218</v>
      </c>
      <c r="P5" s="6">
        <f t="shared" si="3"/>
        <v>135.05372168284796</v>
      </c>
      <c r="Q5" s="6"/>
      <c r="R5" s="6"/>
      <c r="T5" s="8"/>
      <c r="U5" s="9"/>
    </row>
    <row r="6" spans="2:21" x14ac:dyDescent="0.25">
      <c r="B6">
        <v>35</v>
      </c>
      <c r="C6">
        <v>26</v>
      </c>
      <c r="D6" s="3">
        <f t="shared" si="4"/>
        <v>9</v>
      </c>
      <c r="F6" s="4">
        <v>35</v>
      </c>
      <c r="G6" s="4">
        <v>26</v>
      </c>
      <c r="H6" s="5">
        <f t="shared" si="5"/>
        <v>9</v>
      </c>
      <c r="J6" s="4">
        <v>28.1</v>
      </c>
      <c r="K6" s="4">
        <v>22.9</v>
      </c>
      <c r="M6" s="6">
        <f t="shared" si="0"/>
        <v>2.2233009708737863</v>
      </c>
      <c r="N6" s="6">
        <f t="shared" si="1"/>
        <v>2.3388646288209607</v>
      </c>
      <c r="O6" s="6">
        <f t="shared" si="2"/>
        <v>50.913592233009709</v>
      </c>
      <c r="P6" s="6">
        <f t="shared" si="3"/>
        <v>84.400994212098595</v>
      </c>
      <c r="Q6" s="6"/>
      <c r="R6" s="6"/>
    </row>
    <row r="7" spans="2:21" x14ac:dyDescent="0.25">
      <c r="B7">
        <v>35</v>
      </c>
      <c r="C7">
        <v>28</v>
      </c>
      <c r="D7" s="3">
        <f t="shared" si="4"/>
        <v>7</v>
      </c>
      <c r="F7" s="4">
        <v>34.9</v>
      </c>
      <c r="G7" s="4">
        <v>27.9</v>
      </c>
      <c r="H7" s="5">
        <f t="shared" si="5"/>
        <v>7</v>
      </c>
      <c r="J7" s="4">
        <v>22.89</v>
      </c>
      <c r="K7" s="4">
        <v>18.600000000000001</v>
      </c>
      <c r="M7" s="6">
        <f>ABS(K7)/10.3</f>
        <v>1.8058252427184467</v>
      </c>
      <c r="N7" s="6">
        <f t="shared" si="1"/>
        <v>2.375645161290322</v>
      </c>
      <c r="O7" s="6">
        <f t="shared" si="2"/>
        <v>33.588349514563113</v>
      </c>
      <c r="P7" s="6">
        <f t="shared" si="3"/>
        <v>55.137874601127038</v>
      </c>
      <c r="Q7" s="6"/>
      <c r="R7" s="6"/>
    </row>
    <row r="8" spans="2:21" x14ac:dyDescent="0.25">
      <c r="B8">
        <v>35</v>
      </c>
      <c r="C8">
        <v>30</v>
      </c>
      <c r="D8" s="3">
        <f t="shared" si="4"/>
        <v>5</v>
      </c>
      <c r="F8" s="4">
        <v>35</v>
      </c>
      <c r="G8" s="4">
        <v>29.9</v>
      </c>
      <c r="H8" s="5">
        <f t="shared" si="5"/>
        <v>5.1000000000000014</v>
      </c>
      <c r="J8" s="4">
        <v>16.399999999999999</v>
      </c>
      <c r="K8" s="4">
        <v>13.9</v>
      </c>
      <c r="M8" s="6">
        <f t="shared" ref="M8:M12" si="6">ABS(K8)/10.3</f>
        <v>1.349514563106796</v>
      </c>
      <c r="N8" s="6">
        <f t="shared" si="1"/>
        <v>1.8525179856115095</v>
      </c>
      <c r="O8" s="6">
        <f t="shared" si="2"/>
        <v>18.758252427184466</v>
      </c>
      <c r="P8" s="6">
        <f t="shared" si="3"/>
        <v>36.296543689320409</v>
      </c>
      <c r="Q8" s="6"/>
      <c r="R8" s="6"/>
    </row>
    <row r="9" spans="2:21" x14ac:dyDescent="0.25">
      <c r="B9">
        <v>35</v>
      </c>
      <c r="C9">
        <v>31</v>
      </c>
      <c r="D9" s="3">
        <f t="shared" si="4"/>
        <v>4</v>
      </c>
      <c r="F9" s="4">
        <v>35</v>
      </c>
      <c r="G9" s="4">
        <v>31</v>
      </c>
      <c r="H9" s="5">
        <f>F9-G9</f>
        <v>4</v>
      </c>
      <c r="J9" s="4">
        <v>14.2</v>
      </c>
      <c r="K9" s="4">
        <v>11.3</v>
      </c>
      <c r="M9" s="6">
        <f>ABS(K9)/10.3</f>
        <v>1.0970873786407767</v>
      </c>
      <c r="N9" s="6">
        <f t="shared" si="1"/>
        <v>2.6433628318584041</v>
      </c>
      <c r="O9" s="6">
        <f>ABS(K9*10^-3)*ABS(M9*10^-3)*10^6</f>
        <v>12.397087378640778</v>
      </c>
      <c r="P9" s="6">
        <f t="shared" si="3"/>
        <v>19.070405088717798</v>
      </c>
      <c r="Q9" s="6"/>
      <c r="R9" s="6"/>
    </row>
    <row r="10" spans="2:21" x14ac:dyDescent="0.25">
      <c r="B10">
        <v>35</v>
      </c>
      <c r="C10">
        <v>32</v>
      </c>
      <c r="D10" s="3">
        <f t="shared" si="4"/>
        <v>3</v>
      </c>
      <c r="F10" s="4">
        <v>35</v>
      </c>
      <c r="G10" s="4">
        <v>32</v>
      </c>
      <c r="H10" s="5">
        <f>F10-G10</f>
        <v>3</v>
      </c>
      <c r="J10" s="4">
        <v>11.7</v>
      </c>
      <c r="K10" s="4">
        <v>9.5</v>
      </c>
      <c r="M10" s="6">
        <f>ABS(K10)/10.3</f>
        <v>0.92233009708737856</v>
      </c>
      <c r="N10" s="6">
        <f t="shared" si="1"/>
        <v>2.3852631578947374</v>
      </c>
      <c r="O10" s="6">
        <f>ABS(K10*10^-3)*ABS(M10*10^-3)*10^6</f>
        <v>8.7621359223300956</v>
      </c>
      <c r="P10" s="6">
        <f t="shared" si="3"/>
        <v>14.347473521624002</v>
      </c>
      <c r="Q10" s="6"/>
      <c r="R10" s="6"/>
    </row>
    <row r="11" spans="2:21" x14ac:dyDescent="0.25">
      <c r="B11">
        <v>35</v>
      </c>
      <c r="C11">
        <v>33</v>
      </c>
      <c r="D11" s="3">
        <f t="shared" si="4"/>
        <v>2</v>
      </c>
      <c r="F11" s="4">
        <v>35</v>
      </c>
      <c r="G11" s="4">
        <v>33</v>
      </c>
      <c r="H11" s="5">
        <f t="shared" si="5"/>
        <v>2</v>
      </c>
      <c r="J11" s="4">
        <v>8.9</v>
      </c>
      <c r="K11" s="4">
        <v>7.4</v>
      </c>
      <c r="M11" s="6">
        <f t="shared" si="6"/>
        <v>0.71844660194174759</v>
      </c>
      <c r="N11" s="6">
        <f t="shared" si="1"/>
        <v>2.0878378378378368</v>
      </c>
      <c r="O11" s="6">
        <f t="shared" si="2"/>
        <v>5.3165048543689331</v>
      </c>
      <c r="P11" s="6">
        <f t="shared" si="3"/>
        <v>9.4846925566343092</v>
      </c>
      <c r="Q11" s="6"/>
      <c r="R11" s="6"/>
    </row>
    <row r="12" spans="2:21" x14ac:dyDescent="0.25">
      <c r="B12">
        <v>35</v>
      </c>
      <c r="C12">
        <v>34</v>
      </c>
      <c r="D12" s="3">
        <f t="shared" si="4"/>
        <v>1</v>
      </c>
      <c r="F12" s="4">
        <v>35.1</v>
      </c>
      <c r="G12" s="4">
        <v>34.1</v>
      </c>
      <c r="H12" s="5">
        <f t="shared" si="5"/>
        <v>1</v>
      </c>
      <c r="J12" s="10">
        <v>6</v>
      </c>
      <c r="K12" s="10">
        <v>5.0999999999999996</v>
      </c>
      <c r="M12" s="6">
        <f t="shared" si="6"/>
        <v>0.49514563106796111</v>
      </c>
      <c r="N12" s="6">
        <f t="shared" si="1"/>
        <v>1.8176470588235301</v>
      </c>
      <c r="O12" s="6">
        <f t="shared" si="2"/>
        <v>2.5252427184466018</v>
      </c>
      <c r="P12" s="6">
        <f t="shared" si="3"/>
        <v>4.9514563106796095</v>
      </c>
      <c r="Q12" s="6"/>
      <c r="R12" s="6"/>
    </row>
    <row r="13" spans="2:21" x14ac:dyDescent="0.25">
      <c r="D13" s="3"/>
      <c r="F13" s="11"/>
      <c r="G13" s="11"/>
      <c r="H13" s="5"/>
      <c r="J13" s="11"/>
      <c r="K13" s="11"/>
      <c r="N13" s="4"/>
      <c r="O13" s="6"/>
    </row>
    <row r="15" spans="2:21" x14ac:dyDescent="0.25">
      <c r="D15" s="3"/>
      <c r="F15" s="4"/>
      <c r="G15" s="4"/>
      <c r="H15" s="10"/>
      <c r="J15" s="4"/>
      <c r="N15" s="4"/>
      <c r="O15" s="6"/>
    </row>
    <row r="16" spans="2:21" x14ac:dyDescent="0.25">
      <c r="D16" s="3"/>
      <c r="G16" s="4"/>
      <c r="H16" s="10"/>
      <c r="J16" s="4"/>
      <c r="N16" s="4"/>
      <c r="O16" s="6"/>
    </row>
    <row r="17" spans="2:15" x14ac:dyDescent="0.25">
      <c r="D17" s="3"/>
      <c r="F17" s="4"/>
      <c r="G17" s="4"/>
      <c r="H17" s="10"/>
      <c r="J17" s="4"/>
      <c r="N17" s="4"/>
      <c r="O17" s="6"/>
    </row>
    <row r="18" spans="2:15" x14ac:dyDescent="0.25">
      <c r="D18" s="3"/>
      <c r="F18" s="4"/>
      <c r="G18" s="4"/>
      <c r="H18" s="10"/>
      <c r="J18" s="4"/>
      <c r="N18" s="4"/>
      <c r="O18" s="6"/>
    </row>
    <row r="19" spans="2:15" x14ac:dyDescent="0.25">
      <c r="D19" s="3"/>
      <c r="F19" s="4"/>
      <c r="G19" s="4"/>
      <c r="H19" s="10"/>
      <c r="J19" s="4"/>
      <c r="N19" s="4"/>
      <c r="O19" s="6"/>
    </row>
    <row r="20" spans="2:15" x14ac:dyDescent="0.25">
      <c r="D20" s="3"/>
      <c r="F20" s="4"/>
      <c r="G20" s="4"/>
      <c r="H20" s="10"/>
      <c r="J20" s="4"/>
      <c r="N20" s="4"/>
      <c r="O20" s="6"/>
    </row>
    <row r="21" spans="2:15" x14ac:dyDescent="0.25">
      <c r="D21" s="3"/>
      <c r="F21" s="4"/>
      <c r="G21" s="4"/>
      <c r="H21" s="10"/>
      <c r="J21" s="4"/>
      <c r="N21" s="4"/>
      <c r="O21" s="6"/>
    </row>
    <row r="22" spans="2:15" x14ac:dyDescent="0.25">
      <c r="D22" s="3"/>
      <c r="F22" s="4"/>
      <c r="G22" s="4"/>
      <c r="H22" s="10"/>
      <c r="J22" s="4"/>
      <c r="N22" s="4"/>
      <c r="O22" s="6"/>
    </row>
    <row r="23" spans="2:15" x14ac:dyDescent="0.25">
      <c r="D23" s="3"/>
      <c r="F23" s="4"/>
      <c r="G23" s="4"/>
      <c r="H23" s="10"/>
      <c r="J23" s="4"/>
      <c r="N23" s="4"/>
      <c r="O23" s="6"/>
    </row>
    <row r="24" spans="2:15" x14ac:dyDescent="0.25">
      <c r="D24" s="3"/>
      <c r="F24" s="4"/>
      <c r="G24" s="4"/>
      <c r="H24" s="10"/>
      <c r="J24" s="4"/>
      <c r="N24" s="4"/>
      <c r="O24" s="6"/>
    </row>
    <row r="28" spans="2:15" x14ac:dyDescent="0.25">
      <c r="B28" s="19" t="s">
        <v>42</v>
      </c>
      <c r="C28" s="19"/>
    </row>
    <row r="29" spans="2:15" x14ac:dyDescent="0.25">
      <c r="B29" s="17" cm="1">
        <f t="array" ref="B29:C29">LINEST(J3:J12,H3:H12,0)</f>
        <v>3.067433552231726</v>
      </c>
      <c r="C29">
        <v>0</v>
      </c>
      <c r="K29" s="12"/>
      <c r="L29" s="3"/>
    </row>
    <row r="30" spans="2:15" x14ac:dyDescent="0.25">
      <c r="B30" s="12"/>
      <c r="C30" s="12"/>
      <c r="D30" s="12"/>
      <c r="E30" s="12"/>
      <c r="F30" s="12"/>
      <c r="G30" s="12"/>
      <c r="I30" s="12"/>
      <c r="J30" s="12"/>
      <c r="K30" s="12"/>
      <c r="L30" s="3"/>
    </row>
    <row r="31" spans="2:15" x14ac:dyDescent="0.25">
      <c r="B31" s="13" t="s">
        <v>13</v>
      </c>
      <c r="G31" s="13"/>
      <c r="I31" s="19" t="s">
        <v>14</v>
      </c>
      <c r="J31" s="19"/>
      <c r="K31" s="12"/>
      <c r="L31" s="3"/>
    </row>
    <row r="32" spans="2:15" x14ac:dyDescent="0.25">
      <c r="B32" t="s">
        <v>15</v>
      </c>
      <c r="D32" t="s">
        <v>38</v>
      </c>
      <c r="I32">
        <v>10.3</v>
      </c>
      <c r="J32" t="s">
        <v>17</v>
      </c>
      <c r="K32" s="12"/>
      <c r="L32" s="3"/>
    </row>
    <row r="33" spans="2:12" x14ac:dyDescent="0.25">
      <c r="B33" t="s">
        <v>19</v>
      </c>
      <c r="I33" s="12"/>
      <c r="J33" s="12"/>
      <c r="K33" s="12"/>
      <c r="L33" s="3"/>
    </row>
    <row r="35" spans="2:12" x14ac:dyDescent="0.25">
      <c r="H35" s="13"/>
    </row>
  </sheetData>
  <mergeCells count="6">
    <mergeCell ref="B1:D1"/>
    <mergeCell ref="F1:H1"/>
    <mergeCell ref="J1:K1"/>
    <mergeCell ref="M1:O1"/>
    <mergeCell ref="I31:J31"/>
    <mergeCell ref="B28:C28"/>
  </mergeCells>
  <conditionalFormatting sqref="R3:R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F8D46-1992-4DE9-A90C-64C4E15FC162}">
  <dimension ref="B1:U35"/>
  <sheetViews>
    <sheetView workbookViewId="0">
      <selection activeCell="B29" sqref="B29"/>
    </sheetView>
  </sheetViews>
  <sheetFormatPr defaultRowHeight="15" x14ac:dyDescent="0.25"/>
  <cols>
    <col min="1" max="1" width="4.85546875" customWidth="1"/>
    <col min="3" max="3" width="9.7109375" customWidth="1"/>
    <col min="5" max="5" width="5.140625" customWidth="1"/>
    <col min="6" max="6" width="9.5703125" customWidth="1"/>
    <col min="7" max="7" width="9.7109375" customWidth="1"/>
    <col min="9" max="9" width="7" customWidth="1"/>
    <col min="11" max="11" width="11" bestFit="1" customWidth="1"/>
    <col min="15" max="15" width="12.5703125" customWidth="1"/>
    <col min="16" max="16" width="12" bestFit="1" customWidth="1"/>
    <col min="19" max="19" width="8.5703125" customWidth="1"/>
  </cols>
  <sheetData>
    <row r="1" spans="2:21" x14ac:dyDescent="0.25">
      <c r="B1" s="18" t="s">
        <v>0</v>
      </c>
      <c r="C1" s="18"/>
      <c r="D1" s="18"/>
      <c r="F1" s="18" t="s">
        <v>1</v>
      </c>
      <c r="G1" s="18"/>
      <c r="H1" s="18"/>
      <c r="J1" s="18" t="s">
        <v>2</v>
      </c>
      <c r="K1" s="18"/>
      <c r="M1" s="18" t="s">
        <v>3</v>
      </c>
      <c r="N1" s="18"/>
      <c r="O1" s="18"/>
    </row>
    <row r="2" spans="2:21" ht="18" x14ac:dyDescent="0.25">
      <c r="B2" s="1" t="s">
        <v>4</v>
      </c>
      <c r="C2" s="1" t="s">
        <v>5</v>
      </c>
      <c r="D2" s="2" t="s">
        <v>6</v>
      </c>
      <c r="E2" s="2"/>
      <c r="F2" s="1" t="s">
        <v>4</v>
      </c>
      <c r="G2" s="1" t="s">
        <v>5</v>
      </c>
      <c r="H2" s="2" t="s">
        <v>6</v>
      </c>
      <c r="J2" s="2" t="s">
        <v>7</v>
      </c>
      <c r="K2" s="2" t="s">
        <v>8</v>
      </c>
      <c r="M2" s="2" t="s">
        <v>9</v>
      </c>
      <c r="N2" s="2" t="s">
        <v>10</v>
      </c>
      <c r="O2" s="2" t="s">
        <v>11</v>
      </c>
      <c r="P2" s="2" t="s">
        <v>12</v>
      </c>
    </row>
    <row r="3" spans="2:21" x14ac:dyDescent="0.25">
      <c r="B3">
        <v>35</v>
      </c>
      <c r="C3">
        <v>20</v>
      </c>
      <c r="D3" s="3">
        <f>B3-C3</f>
        <v>15</v>
      </c>
      <c r="F3" s="4">
        <v>34.9</v>
      </c>
      <c r="G3" s="4">
        <v>20.100000000000001</v>
      </c>
      <c r="H3" s="5">
        <f>F3-G3</f>
        <v>14.799999999999997</v>
      </c>
      <c r="J3" s="4">
        <v>275</v>
      </c>
      <c r="K3" s="4">
        <v>60.9</v>
      </c>
      <c r="M3" s="6">
        <f t="shared" ref="M3:M6" si="0">ABS(K3)/10.3</f>
        <v>5.9126213592233006</v>
      </c>
      <c r="N3" s="6">
        <f t="shared" ref="N3:N12" si="1">ABS(J3*10^-3)/(M3*10^-3)-$I$32</f>
        <v>36.210673234811168</v>
      </c>
      <c r="O3" s="6">
        <f t="shared" ref="O3:O12" si="2">ABS(K3*10^-3)*ABS(M3*10^-3)*10^6</f>
        <v>360.07864077669899</v>
      </c>
      <c r="P3" s="6">
        <f t="shared" ref="P3:P12" si="3">(J3*J3)/(4*N3)</f>
        <v>522.11815774318325</v>
      </c>
      <c r="Q3" s="6"/>
      <c r="R3" s="6"/>
      <c r="U3" s="7"/>
    </row>
    <row r="4" spans="2:21" x14ac:dyDescent="0.25">
      <c r="B4">
        <v>35</v>
      </c>
      <c r="C4">
        <v>22</v>
      </c>
      <c r="D4" s="3">
        <f t="shared" ref="D4:D12" si="4">B4-C4</f>
        <v>13</v>
      </c>
      <c r="F4" s="4">
        <v>35</v>
      </c>
      <c r="G4" s="4">
        <v>22</v>
      </c>
      <c r="H4" s="5">
        <f t="shared" ref="H4:H12" si="5">F4-G4</f>
        <v>13</v>
      </c>
      <c r="J4" s="4">
        <v>242.2</v>
      </c>
      <c r="K4" s="4">
        <v>52.7</v>
      </c>
      <c r="M4" s="6">
        <f t="shared" si="0"/>
        <v>5.116504854368932</v>
      </c>
      <c r="N4" s="6">
        <f t="shared" si="1"/>
        <v>37.037001897533202</v>
      </c>
      <c r="O4" s="6">
        <f t="shared" si="2"/>
        <v>269.63980582524277</v>
      </c>
      <c r="P4" s="6">
        <f t="shared" si="3"/>
        <v>395.9610456746164</v>
      </c>
      <c r="Q4" s="6"/>
      <c r="R4" s="6"/>
    </row>
    <row r="5" spans="2:21" x14ac:dyDescent="0.25">
      <c r="B5">
        <v>35</v>
      </c>
      <c r="C5">
        <v>24</v>
      </c>
      <c r="D5" s="3">
        <f t="shared" si="4"/>
        <v>11</v>
      </c>
      <c r="F5" s="4">
        <v>35</v>
      </c>
      <c r="G5" s="4">
        <v>23.8</v>
      </c>
      <c r="H5" s="5">
        <f t="shared" si="5"/>
        <v>11.2</v>
      </c>
      <c r="J5" s="4">
        <v>210.5</v>
      </c>
      <c r="K5" s="4">
        <v>45.6</v>
      </c>
      <c r="M5" s="6">
        <f t="shared" si="0"/>
        <v>4.4271844660194173</v>
      </c>
      <c r="N5" s="6">
        <f t="shared" si="1"/>
        <v>37.247149122807016</v>
      </c>
      <c r="O5" s="6">
        <f t="shared" si="2"/>
        <v>201.87961165048543</v>
      </c>
      <c r="P5" s="6">
        <f t="shared" si="3"/>
        <v>297.40698982024998</v>
      </c>
      <c r="Q5" s="6"/>
      <c r="R5" s="6"/>
      <c r="T5" s="8"/>
      <c r="U5" s="9"/>
    </row>
    <row r="6" spans="2:21" x14ac:dyDescent="0.25">
      <c r="B6">
        <v>35</v>
      </c>
      <c r="C6">
        <v>26</v>
      </c>
      <c r="D6" s="3">
        <f t="shared" si="4"/>
        <v>9</v>
      </c>
      <c r="F6" s="4">
        <v>34.9</v>
      </c>
      <c r="G6" s="4">
        <v>25.8</v>
      </c>
      <c r="H6" s="5">
        <f t="shared" si="5"/>
        <v>9.0999999999999979</v>
      </c>
      <c r="J6" s="4">
        <v>171.4</v>
      </c>
      <c r="K6" s="4">
        <v>37.200000000000003</v>
      </c>
      <c r="M6" s="6">
        <f t="shared" si="0"/>
        <v>3.6116504854368934</v>
      </c>
      <c r="N6" s="6">
        <f t="shared" si="1"/>
        <v>37.157526881720429</v>
      </c>
      <c r="O6" s="6">
        <f t="shared" si="2"/>
        <v>134.35339805825245</v>
      </c>
      <c r="P6" s="6">
        <f t="shared" si="3"/>
        <v>197.65820323238756</v>
      </c>
      <c r="Q6" s="6"/>
      <c r="R6" s="6"/>
    </row>
    <row r="7" spans="2:21" x14ac:dyDescent="0.25">
      <c r="B7">
        <v>35</v>
      </c>
      <c r="C7">
        <v>28</v>
      </c>
      <c r="D7" s="3">
        <f t="shared" si="4"/>
        <v>7</v>
      </c>
      <c r="F7" s="4">
        <v>35</v>
      </c>
      <c r="G7" s="4">
        <v>27.9</v>
      </c>
      <c r="H7" s="5">
        <f t="shared" si="5"/>
        <v>7.1000000000000014</v>
      </c>
      <c r="J7" s="4">
        <v>132.80000000000001</v>
      </c>
      <c r="K7" s="4">
        <v>28.7</v>
      </c>
      <c r="M7" s="6">
        <f>ABS(K7)/10.3</f>
        <v>2.7864077669902909</v>
      </c>
      <c r="N7" s="6">
        <f t="shared" si="1"/>
        <v>37.359930313588848</v>
      </c>
      <c r="O7" s="6">
        <f t="shared" si="2"/>
        <v>79.969902912621365</v>
      </c>
      <c r="P7" s="6">
        <f t="shared" si="3"/>
        <v>118.01306809173408</v>
      </c>
      <c r="Q7" s="6"/>
      <c r="R7" s="6"/>
    </row>
    <row r="8" spans="2:21" x14ac:dyDescent="0.25">
      <c r="B8">
        <v>35</v>
      </c>
      <c r="C8">
        <v>30</v>
      </c>
      <c r="D8" s="3">
        <f t="shared" si="4"/>
        <v>5</v>
      </c>
      <c r="F8" s="4">
        <v>34.9</v>
      </c>
      <c r="G8" s="4">
        <v>29.9</v>
      </c>
      <c r="H8" s="5">
        <f t="shared" si="5"/>
        <v>5</v>
      </c>
      <c r="J8" s="4">
        <v>97.7</v>
      </c>
      <c r="K8" s="4">
        <v>21</v>
      </c>
      <c r="M8" s="6">
        <f t="shared" ref="M8:M12" si="6">ABS(K8)/10.3</f>
        <v>2.0388349514563107</v>
      </c>
      <c r="N8" s="6">
        <f t="shared" si="1"/>
        <v>37.619523809523812</v>
      </c>
      <c r="O8" s="6">
        <f t="shared" si="2"/>
        <v>42.815533980582522</v>
      </c>
      <c r="P8" s="6">
        <f t="shared" si="3"/>
        <v>63.433086290046965</v>
      </c>
      <c r="Q8" s="6"/>
      <c r="R8" s="6"/>
    </row>
    <row r="9" spans="2:21" x14ac:dyDescent="0.25">
      <c r="B9">
        <v>35</v>
      </c>
      <c r="C9">
        <v>31</v>
      </c>
      <c r="D9" s="3">
        <f t="shared" si="4"/>
        <v>4</v>
      </c>
      <c r="F9" s="4">
        <v>35</v>
      </c>
      <c r="G9" s="4">
        <v>30.9</v>
      </c>
      <c r="H9" s="5">
        <f>F9-G9</f>
        <v>4.1000000000000014</v>
      </c>
      <c r="J9" s="4">
        <v>76.400000000000006</v>
      </c>
      <c r="K9" s="4">
        <v>16.600000000000001</v>
      </c>
      <c r="M9" s="6">
        <f>ABS(K9)/10.3</f>
        <v>1.6116504854368932</v>
      </c>
      <c r="N9" s="6">
        <f t="shared" si="1"/>
        <v>37.104819277108433</v>
      </c>
      <c r="O9" s="6">
        <f>ABS(K9*10^-3)*ABS(M9*10^-3)*10^6</f>
        <v>26.753398058252429</v>
      </c>
      <c r="P9" s="6">
        <f t="shared" si="3"/>
        <v>39.327505925901882</v>
      </c>
      <c r="Q9" s="6"/>
      <c r="R9" s="6"/>
    </row>
    <row r="10" spans="2:21" x14ac:dyDescent="0.25">
      <c r="B10">
        <v>35</v>
      </c>
      <c r="C10">
        <v>32</v>
      </c>
      <c r="D10" s="3">
        <f t="shared" si="4"/>
        <v>3</v>
      </c>
      <c r="F10" s="4">
        <v>35</v>
      </c>
      <c r="G10" s="4">
        <v>32.1</v>
      </c>
      <c r="H10" s="5">
        <f>F10-G10</f>
        <v>2.8999999999999986</v>
      </c>
      <c r="J10" s="4">
        <v>56</v>
      </c>
      <c r="K10" s="4">
        <v>12.1</v>
      </c>
      <c r="M10" s="6">
        <f>ABS(K10)/10.3</f>
        <v>1.174757281553398</v>
      </c>
      <c r="N10" s="6">
        <f t="shared" si="1"/>
        <v>37.369421487603304</v>
      </c>
      <c r="O10" s="6">
        <f>ABS(K10*10^-3)*ABS(M10*10^-3)*10^6</f>
        <v>14.214563106796117</v>
      </c>
      <c r="P10" s="6">
        <f t="shared" si="3"/>
        <v>20.979720016807839</v>
      </c>
      <c r="Q10" s="6"/>
      <c r="R10" s="6"/>
    </row>
    <row r="11" spans="2:21" x14ac:dyDescent="0.25">
      <c r="B11">
        <v>35</v>
      </c>
      <c r="C11">
        <v>33</v>
      </c>
      <c r="D11" s="3">
        <f t="shared" si="4"/>
        <v>2</v>
      </c>
      <c r="F11" s="4">
        <v>35.1</v>
      </c>
      <c r="G11" s="4">
        <v>33</v>
      </c>
      <c r="H11" s="5">
        <f t="shared" si="5"/>
        <v>2.1000000000000014</v>
      </c>
      <c r="J11" s="4">
        <v>38.1</v>
      </c>
      <c r="K11" s="4">
        <v>8.6</v>
      </c>
      <c r="M11" s="6">
        <f t="shared" si="6"/>
        <v>0.83495145631067957</v>
      </c>
      <c r="N11" s="6">
        <f t="shared" si="1"/>
        <v>35.331395348837219</v>
      </c>
      <c r="O11" s="6">
        <f t="shared" si="2"/>
        <v>7.180582524271844</v>
      </c>
      <c r="P11" s="6">
        <f t="shared" si="3"/>
        <v>10.271388843179198</v>
      </c>
      <c r="Q11" s="6"/>
      <c r="R11" s="6"/>
    </row>
    <row r="12" spans="2:21" x14ac:dyDescent="0.25">
      <c r="B12">
        <v>35</v>
      </c>
      <c r="C12">
        <v>34</v>
      </c>
      <c r="D12" s="3">
        <f t="shared" si="4"/>
        <v>1</v>
      </c>
      <c r="F12" s="4">
        <v>35.1</v>
      </c>
      <c r="G12" s="4">
        <v>34.1</v>
      </c>
      <c r="H12" s="5">
        <f t="shared" si="5"/>
        <v>1</v>
      </c>
      <c r="J12" s="10">
        <v>20</v>
      </c>
      <c r="K12" s="10">
        <v>4.3</v>
      </c>
      <c r="M12" s="6">
        <f t="shared" si="6"/>
        <v>0.41747572815533979</v>
      </c>
      <c r="N12" s="6">
        <f t="shared" si="1"/>
        <v>37.606976744186042</v>
      </c>
      <c r="O12" s="6">
        <f t="shared" si="2"/>
        <v>1.795145631067961</v>
      </c>
      <c r="P12" s="6">
        <f t="shared" si="3"/>
        <v>2.6590810710531203</v>
      </c>
      <c r="Q12" s="6"/>
      <c r="R12" s="6"/>
    </row>
    <row r="13" spans="2:21" x14ac:dyDescent="0.25">
      <c r="D13" s="3"/>
      <c r="F13" s="11"/>
      <c r="G13" s="11"/>
      <c r="H13" s="5"/>
      <c r="J13" s="11"/>
      <c r="K13" s="11"/>
      <c r="N13" s="4"/>
      <c r="O13" s="6"/>
    </row>
    <row r="15" spans="2:21" x14ac:dyDescent="0.25">
      <c r="D15" s="3"/>
      <c r="F15" s="4"/>
      <c r="G15" s="4"/>
      <c r="H15" s="10"/>
      <c r="J15" s="4"/>
      <c r="N15" s="4"/>
      <c r="O15" s="6"/>
    </row>
    <row r="16" spans="2:21" x14ac:dyDescent="0.25">
      <c r="D16" s="3"/>
      <c r="G16" s="4"/>
      <c r="H16" s="10"/>
      <c r="J16" s="4"/>
      <c r="N16" s="4"/>
      <c r="O16" s="6"/>
    </row>
    <row r="17" spans="2:15" x14ac:dyDescent="0.25">
      <c r="D17" s="3"/>
      <c r="F17" s="4"/>
      <c r="G17" s="4"/>
      <c r="H17" s="10"/>
      <c r="J17" s="4"/>
      <c r="N17" s="4"/>
      <c r="O17" s="6"/>
    </row>
    <row r="18" spans="2:15" x14ac:dyDescent="0.25">
      <c r="D18" s="3"/>
      <c r="F18" s="4"/>
      <c r="G18" s="4"/>
      <c r="H18" s="10"/>
      <c r="J18" s="4"/>
      <c r="N18" s="4"/>
      <c r="O18" s="6"/>
    </row>
    <row r="19" spans="2:15" x14ac:dyDescent="0.25">
      <c r="D19" s="3"/>
      <c r="F19" s="4"/>
      <c r="G19" s="4"/>
      <c r="H19" s="10"/>
      <c r="J19" s="4"/>
      <c r="N19" s="4"/>
      <c r="O19" s="6"/>
    </row>
    <row r="20" spans="2:15" x14ac:dyDescent="0.25">
      <c r="D20" s="3"/>
      <c r="F20" s="4"/>
      <c r="G20" s="4"/>
      <c r="H20" s="10"/>
      <c r="J20" s="4"/>
      <c r="N20" s="4"/>
      <c r="O20" s="6"/>
    </row>
    <row r="21" spans="2:15" x14ac:dyDescent="0.25">
      <c r="D21" s="3"/>
      <c r="F21" s="4"/>
      <c r="G21" s="4"/>
      <c r="H21" s="10"/>
      <c r="J21" s="4"/>
      <c r="N21" s="4"/>
      <c r="O21" s="6"/>
    </row>
    <row r="22" spans="2:15" x14ac:dyDescent="0.25">
      <c r="D22" s="3"/>
      <c r="F22" s="4"/>
      <c r="G22" s="4"/>
      <c r="H22" s="10"/>
      <c r="J22" s="4"/>
      <c r="N22" s="4"/>
      <c r="O22" s="6"/>
    </row>
    <row r="23" spans="2:15" x14ac:dyDescent="0.25">
      <c r="D23" s="3"/>
      <c r="F23" s="4"/>
      <c r="G23" s="4"/>
      <c r="H23" s="10"/>
      <c r="J23" s="4"/>
      <c r="N23" s="4"/>
      <c r="O23" s="6"/>
    </row>
    <row r="24" spans="2:15" x14ac:dyDescent="0.25">
      <c r="D24" s="3"/>
      <c r="F24" s="4"/>
      <c r="G24" s="4"/>
      <c r="H24" s="10"/>
      <c r="J24" s="4"/>
      <c r="N24" s="4"/>
      <c r="O24" s="6"/>
    </row>
    <row r="28" spans="2:15" x14ac:dyDescent="0.25">
      <c r="B28" s="19" t="s">
        <v>42</v>
      </c>
      <c r="C28" s="19"/>
    </row>
    <row r="29" spans="2:15" x14ac:dyDescent="0.25">
      <c r="B29" s="17" cm="1">
        <f t="array" ref="B29:C29">LINEST(J3:J12,H3:H12,0)</f>
        <v>18.713382597924067</v>
      </c>
      <c r="C29">
        <v>0</v>
      </c>
      <c r="K29" s="12"/>
      <c r="L29" s="3"/>
    </row>
    <row r="30" spans="2:15" x14ac:dyDescent="0.25">
      <c r="B30" s="12"/>
      <c r="C30" s="12"/>
      <c r="D30" s="12"/>
      <c r="E30" s="12"/>
      <c r="F30" s="12"/>
      <c r="G30" s="12"/>
      <c r="I30" s="12"/>
      <c r="J30" s="12"/>
      <c r="K30" s="12"/>
      <c r="L30" s="3"/>
    </row>
    <row r="31" spans="2:15" x14ac:dyDescent="0.25">
      <c r="B31" s="13" t="s">
        <v>13</v>
      </c>
      <c r="G31" s="13"/>
      <c r="I31" s="19" t="s">
        <v>14</v>
      </c>
      <c r="J31" s="19"/>
      <c r="K31" s="12"/>
      <c r="L31" s="3"/>
    </row>
    <row r="32" spans="2:15" x14ac:dyDescent="0.25">
      <c r="B32" t="s">
        <v>15</v>
      </c>
      <c r="D32" t="s">
        <v>37</v>
      </c>
      <c r="I32">
        <v>10.3</v>
      </c>
      <c r="J32" t="s">
        <v>17</v>
      </c>
      <c r="K32" s="12"/>
      <c r="L32" s="3"/>
    </row>
    <row r="33" spans="2:12" x14ac:dyDescent="0.25">
      <c r="B33" t="s">
        <v>19</v>
      </c>
      <c r="I33" s="12"/>
      <c r="J33" s="12"/>
      <c r="K33" s="12"/>
      <c r="L33" s="3"/>
    </row>
    <row r="35" spans="2:12" x14ac:dyDescent="0.25">
      <c r="H35" s="13"/>
    </row>
  </sheetData>
  <mergeCells count="6">
    <mergeCell ref="B1:D1"/>
    <mergeCell ref="F1:H1"/>
    <mergeCell ref="J1:K1"/>
    <mergeCell ref="M1:O1"/>
    <mergeCell ref="I31:J31"/>
    <mergeCell ref="B28:C28"/>
  </mergeCells>
  <conditionalFormatting sqref="R3:R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7F631-040F-42DB-BD11-94B4BDD5A1C8}">
  <dimension ref="B1:U35"/>
  <sheetViews>
    <sheetView workbookViewId="0">
      <selection activeCell="G29" sqref="G29"/>
    </sheetView>
  </sheetViews>
  <sheetFormatPr defaultRowHeight="15" x14ac:dyDescent="0.25"/>
  <cols>
    <col min="1" max="1" width="4.85546875" customWidth="1"/>
    <col min="3" max="3" width="9.7109375" customWidth="1"/>
    <col min="5" max="5" width="5.140625" customWidth="1"/>
    <col min="6" max="6" width="9.5703125" customWidth="1"/>
    <col min="7" max="7" width="9.7109375" customWidth="1"/>
    <col min="9" max="9" width="7" customWidth="1"/>
    <col min="11" max="11" width="11" bestFit="1" customWidth="1"/>
    <col min="15" max="15" width="12.5703125" customWidth="1"/>
    <col min="16" max="16" width="12" bestFit="1" customWidth="1"/>
    <col min="19" max="19" width="8.5703125" customWidth="1"/>
  </cols>
  <sheetData>
    <row r="1" spans="2:21" x14ac:dyDescent="0.25">
      <c r="B1" s="18" t="s">
        <v>0</v>
      </c>
      <c r="C1" s="18"/>
      <c r="D1" s="18"/>
      <c r="F1" s="18" t="s">
        <v>1</v>
      </c>
      <c r="G1" s="18"/>
      <c r="H1" s="18"/>
      <c r="J1" s="18" t="s">
        <v>2</v>
      </c>
      <c r="K1" s="18"/>
      <c r="M1" s="18" t="s">
        <v>3</v>
      </c>
      <c r="N1" s="18"/>
      <c r="O1" s="18"/>
    </row>
    <row r="2" spans="2:21" ht="18" x14ac:dyDescent="0.25">
      <c r="B2" s="1" t="s">
        <v>4</v>
      </c>
      <c r="C2" s="1" t="s">
        <v>5</v>
      </c>
      <c r="D2" s="2" t="s">
        <v>6</v>
      </c>
      <c r="E2" s="2"/>
      <c r="F2" s="1" t="s">
        <v>4</v>
      </c>
      <c r="G2" s="1" t="s">
        <v>5</v>
      </c>
      <c r="H2" s="2" t="s">
        <v>6</v>
      </c>
      <c r="J2" s="2" t="s">
        <v>7</v>
      </c>
      <c r="K2" s="2" t="s">
        <v>8</v>
      </c>
      <c r="M2" s="2" t="s">
        <v>9</v>
      </c>
      <c r="N2" s="2" t="s">
        <v>10</v>
      </c>
      <c r="O2" s="2" t="s">
        <v>11</v>
      </c>
      <c r="P2" s="2" t="s">
        <v>12</v>
      </c>
    </row>
    <row r="3" spans="2:21" x14ac:dyDescent="0.25">
      <c r="B3">
        <v>35</v>
      </c>
      <c r="C3">
        <v>20</v>
      </c>
      <c r="D3" s="3">
        <f>B3-C3</f>
        <v>15</v>
      </c>
      <c r="F3" s="4">
        <v>35</v>
      </c>
      <c r="G3" s="4">
        <v>20.5</v>
      </c>
      <c r="H3" s="5">
        <f>F3-G3</f>
        <v>14.5</v>
      </c>
      <c r="J3" s="4">
        <v>185</v>
      </c>
      <c r="K3" s="4">
        <v>66.7</v>
      </c>
      <c r="M3" s="6">
        <f t="shared" ref="M3:M6" si="0">ABS(K3)/10.3</f>
        <v>6.4757281553398061</v>
      </c>
      <c r="N3" s="6">
        <f t="shared" ref="N3:N12" si="1">ABS(J3*10^-3)/(M3*10^-3)-$I$32</f>
        <v>18.26821589205397</v>
      </c>
      <c r="O3" s="6">
        <f t="shared" ref="O3:O12" si="2">ABS(K3*10^-3)*ABS(M3*10^-3)*10^6</f>
        <v>431.93106796116513</v>
      </c>
      <c r="P3" s="6">
        <f t="shared" ref="P3:P12" si="3">(J3*J3)/(4*N3)</f>
        <v>468.36812366125292</v>
      </c>
      <c r="Q3" s="6"/>
      <c r="R3" s="6"/>
      <c r="U3" s="7"/>
    </row>
    <row r="4" spans="2:21" x14ac:dyDescent="0.25">
      <c r="B4">
        <v>35</v>
      </c>
      <c r="C4">
        <v>22</v>
      </c>
      <c r="D4" s="3">
        <f t="shared" ref="D4:D12" si="4">B4-C4</f>
        <v>13</v>
      </c>
      <c r="F4" s="4">
        <v>35</v>
      </c>
      <c r="G4" s="4">
        <v>22.2</v>
      </c>
      <c r="H4" s="5">
        <f t="shared" ref="H4:H12" si="5">F4-G4</f>
        <v>12.8</v>
      </c>
      <c r="J4" s="4">
        <v>163.4</v>
      </c>
      <c r="K4" s="4">
        <v>58.4</v>
      </c>
      <c r="M4" s="6">
        <f t="shared" si="0"/>
        <v>5.6699029126213585</v>
      </c>
      <c r="N4" s="6">
        <f t="shared" si="1"/>
        <v>18.518835616438359</v>
      </c>
      <c r="O4" s="6">
        <f t="shared" si="2"/>
        <v>331.12233009708734</v>
      </c>
      <c r="P4" s="6">
        <f t="shared" si="3"/>
        <v>360.43788811835412</v>
      </c>
      <c r="Q4" s="6"/>
      <c r="R4" s="6"/>
    </row>
    <row r="5" spans="2:21" x14ac:dyDescent="0.25">
      <c r="B5">
        <v>35</v>
      </c>
      <c r="C5">
        <v>24</v>
      </c>
      <c r="D5" s="3">
        <f t="shared" si="4"/>
        <v>11</v>
      </c>
      <c r="F5" s="4">
        <v>35</v>
      </c>
      <c r="G5" s="4">
        <v>24.2</v>
      </c>
      <c r="H5" s="5">
        <f t="shared" si="5"/>
        <v>10.8</v>
      </c>
      <c r="J5" s="4">
        <v>140.19999999999999</v>
      </c>
      <c r="K5" s="4">
        <v>49.6</v>
      </c>
      <c r="M5" s="6">
        <f t="shared" si="0"/>
        <v>4.8155339805825239</v>
      </c>
      <c r="N5" s="6">
        <f t="shared" si="1"/>
        <v>18.814112903225805</v>
      </c>
      <c r="O5" s="6">
        <f t="shared" si="2"/>
        <v>238.85048543689325</v>
      </c>
      <c r="P5" s="6">
        <f t="shared" si="3"/>
        <v>261.1874407938447</v>
      </c>
      <c r="Q5" s="6"/>
      <c r="R5" s="6"/>
      <c r="T5" s="8"/>
      <c r="U5" s="9"/>
    </row>
    <row r="6" spans="2:21" x14ac:dyDescent="0.25">
      <c r="B6">
        <v>35</v>
      </c>
      <c r="C6">
        <v>26</v>
      </c>
      <c r="D6" s="3">
        <f t="shared" si="4"/>
        <v>9</v>
      </c>
      <c r="F6" s="4">
        <v>34.9</v>
      </c>
      <c r="G6" s="4">
        <v>25.8</v>
      </c>
      <c r="H6" s="5">
        <f t="shared" si="5"/>
        <v>9.0999999999999979</v>
      </c>
      <c r="J6" s="4">
        <v>121</v>
      </c>
      <c r="K6" s="4">
        <v>42</v>
      </c>
      <c r="M6" s="6">
        <f t="shared" si="0"/>
        <v>4.0776699029126213</v>
      </c>
      <c r="N6" s="6">
        <f t="shared" si="1"/>
        <v>19.373809523809523</v>
      </c>
      <c r="O6" s="6">
        <f t="shared" si="2"/>
        <v>171.26213592233009</v>
      </c>
      <c r="P6" s="6">
        <f t="shared" si="3"/>
        <v>188.92773749539143</v>
      </c>
      <c r="Q6" s="6"/>
      <c r="R6" s="6"/>
    </row>
    <row r="7" spans="2:21" x14ac:dyDescent="0.25">
      <c r="B7">
        <v>35</v>
      </c>
      <c r="C7">
        <v>28</v>
      </c>
      <c r="D7" s="3">
        <f t="shared" si="4"/>
        <v>7</v>
      </c>
      <c r="F7" s="4">
        <v>34.9</v>
      </c>
      <c r="G7" s="4">
        <v>27.9</v>
      </c>
      <c r="H7" s="5">
        <f t="shared" si="5"/>
        <v>7</v>
      </c>
      <c r="J7" s="4">
        <v>91</v>
      </c>
      <c r="K7" s="4">
        <v>31.9</v>
      </c>
      <c r="M7" s="6">
        <f>ABS(K7)/10.3</f>
        <v>3.0970873786407762</v>
      </c>
      <c r="N7" s="6">
        <f t="shared" si="1"/>
        <v>19.082445141065833</v>
      </c>
      <c r="O7" s="6">
        <f t="shared" si="2"/>
        <v>98.797087378640768</v>
      </c>
      <c r="P7" s="6">
        <f t="shared" si="3"/>
        <v>108.48976557751384</v>
      </c>
      <c r="Q7" s="6"/>
      <c r="R7" s="6"/>
    </row>
    <row r="8" spans="2:21" x14ac:dyDescent="0.25">
      <c r="B8">
        <v>35</v>
      </c>
      <c r="C8">
        <v>30</v>
      </c>
      <c r="D8" s="3">
        <f t="shared" si="4"/>
        <v>5</v>
      </c>
      <c r="F8" s="4">
        <v>35</v>
      </c>
      <c r="G8" s="4">
        <v>30</v>
      </c>
      <c r="H8" s="5">
        <f t="shared" si="5"/>
        <v>5</v>
      </c>
      <c r="J8" s="4">
        <v>66.400000000000006</v>
      </c>
      <c r="K8" s="4">
        <v>23.2</v>
      </c>
      <c r="M8" s="6">
        <f t="shared" ref="M8:M12" si="6">ABS(K8)/10.3</f>
        <v>2.2524271844660193</v>
      </c>
      <c r="N8" s="6">
        <f t="shared" si="1"/>
        <v>19.179310344827588</v>
      </c>
      <c r="O8" s="6">
        <f t="shared" si="2"/>
        <v>52.256310679611644</v>
      </c>
      <c r="P8" s="6">
        <f t="shared" si="3"/>
        <v>57.470262495505224</v>
      </c>
      <c r="Q8" s="6"/>
      <c r="R8" s="6"/>
    </row>
    <row r="9" spans="2:21" x14ac:dyDescent="0.25">
      <c r="B9">
        <v>35</v>
      </c>
      <c r="C9">
        <v>31</v>
      </c>
      <c r="D9" s="3">
        <f t="shared" si="4"/>
        <v>4</v>
      </c>
      <c r="F9" s="4">
        <v>34.9</v>
      </c>
      <c r="G9" s="4">
        <v>30.9</v>
      </c>
      <c r="H9" s="5">
        <f>F9-G9</f>
        <v>4</v>
      </c>
      <c r="J9" s="4">
        <v>52.7</v>
      </c>
      <c r="K9" s="4">
        <v>18.8</v>
      </c>
      <c r="M9" s="6">
        <f>ABS(K9)/10.3</f>
        <v>1.8252427184466018</v>
      </c>
      <c r="N9" s="6">
        <f t="shared" si="1"/>
        <v>18.572872340425533</v>
      </c>
      <c r="O9" s="6">
        <f>ABS(K9*10^-3)*ABS(M9*10^-3)*10^6</f>
        <v>34.314563106796115</v>
      </c>
      <c r="P9" s="6">
        <f t="shared" si="3"/>
        <v>37.383689893175244</v>
      </c>
      <c r="Q9" s="6"/>
      <c r="R9" s="6"/>
    </row>
    <row r="10" spans="2:21" x14ac:dyDescent="0.25">
      <c r="B10">
        <v>35</v>
      </c>
      <c r="C10">
        <v>32</v>
      </c>
      <c r="D10" s="3">
        <f t="shared" si="4"/>
        <v>3</v>
      </c>
      <c r="F10" s="4">
        <v>35</v>
      </c>
      <c r="G10" s="4">
        <v>32</v>
      </c>
      <c r="H10" s="5">
        <f>F10-G10</f>
        <v>3</v>
      </c>
      <c r="J10" s="4">
        <v>41.1</v>
      </c>
      <c r="K10" s="4">
        <v>14</v>
      </c>
      <c r="M10" s="6">
        <f>ABS(K10)/10.3</f>
        <v>1.3592233009708736</v>
      </c>
      <c r="N10" s="6">
        <f t="shared" si="1"/>
        <v>19.937857142857151</v>
      </c>
      <c r="O10" s="6">
        <f>ABS(K10*10^-3)*ABS(M10*10^-3)*10^6</f>
        <v>19.029126213592232</v>
      </c>
      <c r="P10" s="6">
        <f t="shared" si="3"/>
        <v>21.180937197721484</v>
      </c>
      <c r="Q10" s="6"/>
      <c r="R10" s="6"/>
    </row>
    <row r="11" spans="2:21" x14ac:dyDescent="0.25">
      <c r="B11">
        <v>35</v>
      </c>
      <c r="C11">
        <v>33</v>
      </c>
      <c r="D11" s="3">
        <f t="shared" si="4"/>
        <v>2</v>
      </c>
      <c r="F11" s="4">
        <v>35</v>
      </c>
      <c r="G11" s="4">
        <v>32.9</v>
      </c>
      <c r="H11" s="5">
        <f t="shared" si="5"/>
        <v>2.1000000000000014</v>
      </c>
      <c r="J11" s="4">
        <v>26.6</v>
      </c>
      <c r="K11" s="4">
        <v>9.3000000000000007</v>
      </c>
      <c r="M11" s="6">
        <f t="shared" si="6"/>
        <v>0.90291262135922334</v>
      </c>
      <c r="N11" s="6">
        <f t="shared" si="1"/>
        <v>19.160215053763441</v>
      </c>
      <c r="O11" s="6">
        <f t="shared" si="2"/>
        <v>8.3970873786407783</v>
      </c>
      <c r="P11" s="6">
        <f t="shared" si="3"/>
        <v>9.2321510746955511</v>
      </c>
      <c r="Q11" s="6"/>
      <c r="R11" s="6"/>
    </row>
    <row r="12" spans="2:21" x14ac:dyDescent="0.25">
      <c r="B12">
        <v>35</v>
      </c>
      <c r="C12">
        <v>34</v>
      </c>
      <c r="D12" s="3">
        <f t="shared" si="4"/>
        <v>1</v>
      </c>
      <c r="F12" s="4">
        <v>35</v>
      </c>
      <c r="G12" s="4">
        <v>34.1</v>
      </c>
      <c r="H12" s="5">
        <f t="shared" si="5"/>
        <v>0.89999999999999858</v>
      </c>
      <c r="J12" s="10">
        <v>15.8</v>
      </c>
      <c r="K12" s="10">
        <v>5</v>
      </c>
      <c r="M12" s="6">
        <f t="shared" si="6"/>
        <v>0.48543689320388345</v>
      </c>
      <c r="N12" s="6">
        <f t="shared" si="1"/>
        <v>22.248000000000001</v>
      </c>
      <c r="O12" s="6">
        <f t="shared" si="2"/>
        <v>2.4271844660194173</v>
      </c>
      <c r="P12" s="6">
        <f t="shared" si="3"/>
        <v>2.8051959726717008</v>
      </c>
      <c r="Q12" s="6"/>
      <c r="R12" s="6"/>
    </row>
    <row r="13" spans="2:21" x14ac:dyDescent="0.25">
      <c r="D13" s="3"/>
      <c r="F13" s="11"/>
      <c r="G13" s="11"/>
      <c r="H13" s="5"/>
      <c r="J13" s="11"/>
      <c r="K13" s="11"/>
      <c r="N13" s="4"/>
      <c r="O13" s="6"/>
    </row>
    <row r="15" spans="2:21" x14ac:dyDescent="0.25">
      <c r="D15" s="3"/>
      <c r="F15" s="4"/>
      <c r="G15" s="4"/>
      <c r="H15" s="10"/>
      <c r="J15" s="4"/>
      <c r="N15" s="4"/>
      <c r="O15" s="6"/>
    </row>
    <row r="16" spans="2:21" x14ac:dyDescent="0.25">
      <c r="D16" s="3"/>
      <c r="G16" s="4"/>
      <c r="H16" s="10"/>
      <c r="J16" s="4"/>
      <c r="N16" s="4"/>
      <c r="O16" s="6"/>
    </row>
    <row r="17" spans="2:15" x14ac:dyDescent="0.25">
      <c r="D17" s="3"/>
      <c r="F17" s="4"/>
      <c r="G17" s="4"/>
      <c r="H17" s="10"/>
      <c r="J17" s="4"/>
      <c r="N17" s="4"/>
      <c r="O17" s="6"/>
    </row>
    <row r="18" spans="2:15" x14ac:dyDescent="0.25">
      <c r="D18" s="3"/>
      <c r="F18" s="4"/>
      <c r="G18" s="4"/>
      <c r="H18" s="10"/>
      <c r="J18" s="4"/>
      <c r="N18" s="4"/>
      <c r="O18" s="6"/>
    </row>
    <row r="19" spans="2:15" x14ac:dyDescent="0.25">
      <c r="D19" s="3"/>
      <c r="F19" s="4"/>
      <c r="G19" s="4"/>
      <c r="H19" s="10"/>
      <c r="J19" s="4"/>
      <c r="N19" s="4"/>
      <c r="O19" s="6"/>
    </row>
    <row r="20" spans="2:15" x14ac:dyDescent="0.25">
      <c r="D20" s="3"/>
      <c r="F20" s="4"/>
      <c r="G20" s="4"/>
      <c r="H20" s="10"/>
      <c r="J20" s="4"/>
      <c r="N20" s="4"/>
      <c r="O20" s="6"/>
    </row>
    <row r="21" spans="2:15" x14ac:dyDescent="0.25">
      <c r="D21" s="3"/>
      <c r="F21" s="4"/>
      <c r="G21" s="4"/>
      <c r="H21" s="10"/>
      <c r="J21" s="4"/>
      <c r="N21" s="4"/>
      <c r="O21" s="6"/>
    </row>
    <row r="22" spans="2:15" x14ac:dyDescent="0.25">
      <c r="D22" s="3"/>
      <c r="F22" s="4"/>
      <c r="G22" s="4"/>
      <c r="H22" s="10"/>
      <c r="J22" s="4"/>
      <c r="N22" s="4"/>
      <c r="O22" s="6"/>
    </row>
    <row r="23" spans="2:15" x14ac:dyDescent="0.25">
      <c r="D23" s="3"/>
      <c r="F23" s="4"/>
      <c r="G23" s="4"/>
      <c r="H23" s="10"/>
      <c r="J23" s="4"/>
      <c r="N23" s="4"/>
      <c r="O23" s="6"/>
    </row>
    <row r="24" spans="2:15" x14ac:dyDescent="0.25">
      <c r="D24" s="3"/>
      <c r="F24" s="4"/>
      <c r="G24" s="4"/>
      <c r="H24" s="10"/>
      <c r="J24" s="4"/>
      <c r="N24" s="4"/>
      <c r="O24" s="6"/>
    </row>
    <row r="28" spans="2:15" x14ac:dyDescent="0.25">
      <c r="B28" s="19" t="s">
        <v>42</v>
      </c>
      <c r="C28" s="19"/>
    </row>
    <row r="29" spans="2:15" x14ac:dyDescent="0.25">
      <c r="B29" s="17" cm="1">
        <f t="array" ref="B29:C29">LINEST(J3:J12,H3:H12,0)</f>
        <v>12.92855878186969</v>
      </c>
      <c r="C29">
        <v>0</v>
      </c>
      <c r="K29" s="12"/>
      <c r="L29" s="3"/>
    </row>
    <row r="30" spans="2:15" x14ac:dyDescent="0.25">
      <c r="B30" s="12"/>
      <c r="C30" s="12"/>
      <c r="D30" s="12"/>
      <c r="E30" s="12"/>
      <c r="F30" s="12"/>
      <c r="G30" s="12"/>
      <c r="I30" s="12"/>
      <c r="J30" s="12"/>
      <c r="K30" s="12"/>
      <c r="L30" s="3"/>
    </row>
    <row r="31" spans="2:15" x14ac:dyDescent="0.25">
      <c r="B31" s="13" t="s">
        <v>13</v>
      </c>
      <c r="G31" s="13"/>
      <c r="I31" s="19" t="s">
        <v>14</v>
      </c>
      <c r="J31" s="19"/>
      <c r="K31" s="12"/>
      <c r="L31" s="3"/>
    </row>
    <row r="32" spans="2:15" x14ac:dyDescent="0.25">
      <c r="B32" t="s">
        <v>15</v>
      </c>
      <c r="D32" t="s">
        <v>37</v>
      </c>
      <c r="I32">
        <v>10.3</v>
      </c>
      <c r="J32" t="s">
        <v>17</v>
      </c>
      <c r="K32" s="12"/>
      <c r="L32" s="3"/>
    </row>
    <row r="33" spans="2:12" x14ac:dyDescent="0.25">
      <c r="B33" t="s">
        <v>19</v>
      </c>
      <c r="I33" s="12"/>
      <c r="J33" s="12"/>
      <c r="K33" s="12"/>
      <c r="L33" s="3"/>
    </row>
    <row r="35" spans="2:12" x14ac:dyDescent="0.25">
      <c r="H35" s="13"/>
    </row>
  </sheetData>
  <mergeCells count="6">
    <mergeCell ref="B1:D1"/>
    <mergeCell ref="F1:H1"/>
    <mergeCell ref="J1:K1"/>
    <mergeCell ref="M1:O1"/>
    <mergeCell ref="I31:J31"/>
    <mergeCell ref="B28:C28"/>
  </mergeCells>
  <conditionalFormatting sqref="R3:R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Overview and Setup</vt:lpstr>
      <vt:lpstr>1S CP07</vt:lpstr>
      <vt:lpstr>1S CP10</vt:lpstr>
      <vt:lpstr>1S MGM250</vt:lpstr>
      <vt:lpstr>1S 1MD04</vt:lpstr>
      <vt:lpstr>1S 1MD06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Peppelman</dc:creator>
  <cp:lastModifiedBy>Christian Peppelman</cp:lastModifiedBy>
  <dcterms:created xsi:type="dcterms:W3CDTF">2015-06-05T18:19:34Z</dcterms:created>
  <dcterms:modified xsi:type="dcterms:W3CDTF">2023-09-07T13:20:47Z</dcterms:modified>
</cp:coreProperties>
</file>