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peppe\Documents\School\TU - Delft\ET4399 - Dental Sensor\Thesis\Data\"/>
    </mc:Choice>
  </mc:AlternateContent>
  <xr:revisionPtr revIDLastSave="0" documentId="13_ncr:1_{338D7255-1179-4BFB-8A07-2E77C373443F}" xr6:coauthVersionLast="47" xr6:coauthVersionMax="47" xr10:uidLastSave="{00000000-0000-0000-0000-000000000000}"/>
  <bookViews>
    <workbookView xWindow="28680" yWindow="-7065" windowWidth="29040" windowHeight="15720" activeTab="5" xr2:uid="{00000000-000D-0000-FFFF-FFFF00000000}"/>
  </bookViews>
  <sheets>
    <sheet name="Braces" sheetId="10" r:id="rId1"/>
    <sheet name="Brace 2 - 200 mL" sheetId="5" r:id="rId2"/>
    <sheet name="Brace 2 - 200 mL (Intelval)" sheetId="8" r:id="rId3"/>
    <sheet name="Brace 2 - 100 mL" sheetId="7" r:id="rId4"/>
    <sheet name="Brace 3 - 200 mL" sheetId="9" r:id="rId5"/>
    <sheet name="Brace 5 - 100 mL" sheetId="11" r:id="rId6"/>
    <sheet name="2S" sheetId="2" state="hidden" r:id="rId7"/>
    <sheet name="1S" sheetId="1" state="hidden" r:id="rId8"/>
  </sheets>
  <definedNames>
    <definedName name="_xlchart.v1.0" hidden="1">'2S'!$K$19:$K$34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7" i="9" l="1"/>
  <c r="H68" i="9"/>
  <c r="H69" i="9"/>
  <c r="H70" i="9"/>
  <c r="H71" i="9"/>
  <c r="H66" i="9"/>
  <c r="H65" i="9"/>
  <c r="H64" i="9"/>
  <c r="H63" i="9"/>
  <c r="H42" i="9"/>
  <c r="H31" i="9" l="1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51" i="9" l="1"/>
  <c r="H50" i="9"/>
  <c r="H49" i="9"/>
  <c r="H48" i="9"/>
  <c r="H47" i="9"/>
  <c r="H46" i="9"/>
  <c r="H45" i="9"/>
  <c r="H44" i="9"/>
  <c r="H43" i="9"/>
  <c r="H41" i="9"/>
  <c r="H40" i="9"/>
  <c r="H39" i="9"/>
  <c r="H38" i="9"/>
  <c r="H37" i="9"/>
  <c r="H36" i="9"/>
  <c r="H35" i="9"/>
  <c r="H34" i="9"/>
  <c r="H33" i="9"/>
  <c r="H32" i="9"/>
  <c r="H62" i="9"/>
  <c r="H61" i="9"/>
  <c r="H60" i="9"/>
  <c r="H59" i="9"/>
  <c r="H58" i="9"/>
  <c r="H57" i="9"/>
  <c r="H56" i="9"/>
  <c r="H55" i="9"/>
  <c r="H54" i="9"/>
  <c r="H53" i="9"/>
  <c r="H52" i="9"/>
  <c r="H11" i="9"/>
  <c r="H10" i="9"/>
  <c r="H9" i="9"/>
  <c r="H8" i="9"/>
  <c r="H7" i="9"/>
  <c r="H6" i="9"/>
  <c r="H5" i="9"/>
  <c r="H4" i="9"/>
  <c r="H3" i="9"/>
  <c r="H2" i="9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H69" i="5"/>
  <c r="H68" i="5"/>
  <c r="H67" i="5"/>
  <c r="H66" i="5"/>
  <c r="H65" i="5"/>
  <c r="H64" i="5"/>
  <c r="H61" i="5"/>
  <c r="H62" i="5"/>
  <c r="H63" i="5"/>
  <c r="H59" i="5"/>
  <c r="H60" i="5"/>
  <c r="H58" i="5"/>
  <c r="H57" i="5"/>
  <c r="H56" i="5"/>
  <c r="H55" i="5"/>
  <c r="H53" i="5"/>
  <c r="H54" i="5"/>
  <c r="H52" i="5"/>
  <c r="H51" i="5"/>
  <c r="H50" i="5"/>
  <c r="H47" i="5"/>
  <c r="H48" i="5"/>
  <c r="H49" i="5"/>
  <c r="H46" i="5"/>
  <c r="H45" i="5"/>
  <c r="H44" i="5"/>
  <c r="H42" i="5" l="1"/>
  <c r="H43" i="5"/>
  <c r="H11" i="5"/>
  <c r="H10" i="5"/>
  <c r="H9" i="5"/>
  <c r="H8" i="5"/>
  <c r="H5" i="5"/>
  <c r="H6" i="5"/>
  <c r="H7" i="5"/>
  <c r="H41" i="5"/>
  <c r="H2" i="5"/>
  <c r="H3" i="5"/>
  <c r="H4" i="5"/>
  <c r="H40" i="5"/>
  <c r="H39" i="5"/>
  <c r="H38" i="5"/>
  <c r="H37" i="5"/>
  <c r="H36" i="5"/>
  <c r="H35" i="5"/>
  <c r="H32" i="5"/>
  <c r="H33" i="5"/>
  <c r="H34" i="5"/>
  <c r="H31" i="5"/>
  <c r="H30" i="5"/>
  <c r="H29" i="5"/>
  <c r="H28" i="5"/>
  <c r="H21" i="5"/>
  <c r="H20" i="5"/>
  <c r="H19" i="5"/>
  <c r="H18" i="5"/>
  <c r="H17" i="5"/>
  <c r="H13" i="5"/>
  <c r="H14" i="5"/>
  <c r="H15" i="5"/>
  <c r="H16" i="5"/>
  <c r="H22" i="5"/>
  <c r="H23" i="5"/>
  <c r="H24" i="5"/>
  <c r="H25" i="5"/>
  <c r="H26" i="5"/>
  <c r="H27" i="5"/>
  <c r="H12" i="5"/>
  <c r="L33" i="2"/>
  <c r="L34" i="2"/>
  <c r="L30" i="2"/>
  <c r="L31" i="2"/>
  <c r="L29" i="2"/>
  <c r="N15" i="2"/>
  <c r="L27" i="2"/>
  <c r="K33" i="2" l="1"/>
  <c r="K34" i="2"/>
  <c r="M15" i="2"/>
  <c r="K29" i="2"/>
  <c r="K30" i="2"/>
  <c r="K31" i="2"/>
  <c r="K24" i="2"/>
  <c r="L24" i="2"/>
  <c r="M24" i="2" s="1"/>
  <c r="K25" i="2"/>
  <c r="L25" i="2"/>
  <c r="M25" i="2"/>
  <c r="K26" i="2"/>
  <c r="L26" i="2"/>
  <c r="M26" i="2"/>
  <c r="K27" i="2"/>
  <c r="M27" i="2"/>
  <c r="K20" i="2" l="1"/>
  <c r="K21" i="2"/>
  <c r="K22" i="2"/>
  <c r="K19" i="2"/>
  <c r="L19" i="2" l="1"/>
  <c r="M19" i="2" s="1"/>
  <c r="L22" i="2"/>
  <c r="M22" i="2" s="1"/>
  <c r="L21" i="2"/>
  <c r="M21" i="2" s="1"/>
  <c r="L20" i="2"/>
  <c r="M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Peppelman</author>
  </authors>
  <commentList>
    <comment ref="D4" authorId="0" shapeId="0" xr:uid="{69171823-DA54-458D-AF55-CD7934F2C837}">
      <text>
        <r>
          <rPr>
            <b/>
            <sz val="9"/>
            <color indexed="81"/>
            <rFont val="Tahoma"/>
            <family val="2"/>
          </rPr>
          <t>Christian Peppelman:</t>
        </r>
        <r>
          <rPr>
            <sz val="9"/>
            <color indexed="81"/>
            <rFont val="Tahoma"/>
            <family val="2"/>
          </rPr>
          <t xml:space="preserve">
To hot to drink comfrotable
</t>
        </r>
      </text>
    </comment>
  </commentList>
</comments>
</file>

<file path=xl/sharedStrings.xml><?xml version="1.0" encoding="utf-8"?>
<sst xmlns="http://schemas.openxmlformats.org/spreadsheetml/2006/main" count="948" uniqueCount="133">
  <si>
    <t>Liquid</t>
  </si>
  <si>
    <t>Water</t>
  </si>
  <si>
    <t>Amout [mL]</t>
  </si>
  <si>
    <r>
      <t>Temperature [</t>
    </r>
    <r>
      <rPr>
        <b/>
        <sz val="11"/>
        <color theme="1"/>
        <rFont val="Calibri"/>
        <family val="2"/>
      </rPr>
      <t>°C</t>
    </r>
    <r>
      <rPr>
        <b/>
        <sz val="11"/>
        <color theme="1"/>
        <rFont val="Calibri"/>
        <family val="2"/>
        <scheme val="minor"/>
      </rPr>
      <t>]</t>
    </r>
  </si>
  <si>
    <t>Maximum Voltage [mV]</t>
  </si>
  <si>
    <t>MRCY</t>
  </si>
  <si>
    <t>-</t>
  </si>
  <si>
    <t xml:space="preserve">Water </t>
  </si>
  <si>
    <t>uF</t>
  </si>
  <si>
    <t>Vmin</t>
  </si>
  <si>
    <t>Vmax</t>
  </si>
  <si>
    <t>Energy [uJ]</t>
  </si>
  <si>
    <t>Usable [uJ]</t>
  </si>
  <si>
    <t>Usable [uC]</t>
  </si>
  <si>
    <t>No DCDC</t>
  </si>
  <si>
    <t>Date</t>
  </si>
  <si>
    <t>Max. Voltage [mV]</t>
  </si>
  <si>
    <t>Output Capacitor</t>
  </si>
  <si>
    <r>
      <t>Energy [</t>
    </r>
    <r>
      <rPr>
        <b/>
        <sz val="11"/>
        <color theme="1"/>
        <rFont val="Calibri"/>
        <family val="2"/>
      </rPr>
      <t>µJ</t>
    </r>
    <r>
      <rPr>
        <b/>
        <sz val="11"/>
        <color theme="1"/>
        <rFont val="Calibri"/>
        <family val="2"/>
        <scheme val="minor"/>
      </rPr>
      <t>]</t>
    </r>
  </si>
  <si>
    <r>
      <t>Temperature [</t>
    </r>
    <r>
      <rPr>
        <b/>
        <sz val="11"/>
        <color theme="1"/>
        <rFont val="Calibri"/>
        <family val="2"/>
      </rPr>
      <t>°C</t>
    </r>
    <r>
      <rPr>
        <b/>
        <sz val="11"/>
        <color theme="1"/>
        <rFont val="Calibri"/>
        <family val="2"/>
        <scheme val="minor"/>
      </rPr>
      <t>] +-1</t>
    </r>
  </si>
  <si>
    <t>Drink Techinque</t>
  </si>
  <si>
    <t>Beker at upper jaw</t>
  </si>
  <si>
    <t xml:space="preserve">Draw water along the teeth and TEG </t>
  </si>
  <si>
    <t>At 5C water is to cold to perfom drinking technique</t>
  </si>
  <si>
    <t>Drink 50ml, wait for ~15 seconds</t>
  </si>
  <si>
    <t>4x 50ml within about a minute</t>
  </si>
  <si>
    <t>Photo</t>
  </si>
  <si>
    <t>Description</t>
  </si>
  <si>
    <t>Lower Jaw, 2S, Outside</t>
  </si>
  <si>
    <t>Lower Jaw, 2S, Inside</t>
  </si>
  <si>
    <t>#</t>
  </si>
  <si>
    <t>Upper Jaw, 1S, Inside</t>
  </si>
  <si>
    <t>Upper Jaw, 2S, Outside</t>
  </si>
  <si>
    <t>Lower Jaw, 2S, Outside With Densor V400 (13)</t>
  </si>
  <si>
    <t>No. of Measurements</t>
  </si>
  <si>
    <t>Data</t>
  </si>
  <si>
    <t>Drink 50 mL each time</t>
  </si>
  <si>
    <t>26.8|3</t>
  </si>
  <si>
    <t>28.9|3 26.4|3</t>
  </si>
  <si>
    <t>26.6|3 24.3|3</t>
  </si>
  <si>
    <t>27.6|3 25.6|3</t>
  </si>
  <si>
    <t>26.4|3 26.0|3</t>
  </si>
  <si>
    <t>24.8|3</t>
  </si>
  <si>
    <t>Settings</t>
  </si>
  <si>
    <t>Enable</t>
  </si>
  <si>
    <t>Power-Down [s]</t>
  </si>
  <si>
    <t>Turn-on Voltage</t>
  </si>
  <si>
    <t>Temp</t>
  </si>
  <si>
    <t>Acc</t>
  </si>
  <si>
    <t>Yes</t>
  </si>
  <si>
    <t>26.5|3 26.0|3</t>
  </si>
  <si>
    <t>26.1|3</t>
  </si>
  <si>
    <t>27.5|3</t>
  </si>
  <si>
    <t>30.0|3 27.0|3</t>
  </si>
  <si>
    <t>No</t>
  </si>
  <si>
    <t>27.1|3</t>
  </si>
  <si>
    <t>27.8|3 27.4|3</t>
  </si>
  <si>
    <t>26.3|3</t>
  </si>
  <si>
    <t>26.6|3 24.1|3</t>
  </si>
  <si>
    <t>25.7|3</t>
  </si>
  <si>
    <t>Keep water in mouth for around 5 seconds</t>
  </si>
  <si>
    <t>26.8|3 25.8|3</t>
  </si>
  <si>
    <t>29.0|3</t>
  </si>
  <si>
    <t>25.9|3</t>
  </si>
  <si>
    <t>29.1|3</t>
  </si>
  <si>
    <t>26.2|3</t>
  </si>
  <si>
    <t>24.4|3</t>
  </si>
  <si>
    <t>25.0|3 23.3|3</t>
  </si>
  <si>
    <r>
      <t>Temperature [</t>
    </r>
    <r>
      <rPr>
        <b/>
        <sz val="11"/>
        <color theme="1"/>
        <rFont val="Calibri"/>
        <family val="2"/>
      </rPr>
      <t>°C</t>
    </r>
    <r>
      <rPr>
        <b/>
        <sz val="11"/>
        <color theme="1"/>
        <rFont val="Calibri"/>
        <family val="2"/>
        <scheme val="minor"/>
      </rPr>
      <t>] +-0.5</t>
    </r>
  </si>
  <si>
    <t>28.0|3 27.8|3</t>
  </si>
  <si>
    <t>minimum 1 minute between tests</t>
  </si>
  <si>
    <t>28.2|3 26.2|3</t>
  </si>
  <si>
    <t>25.5|3</t>
  </si>
  <si>
    <t>25.8|3 24.3|3</t>
  </si>
  <si>
    <t>25.2|3</t>
  </si>
  <si>
    <t>30.9|3</t>
  </si>
  <si>
    <t>30.2|3</t>
  </si>
  <si>
    <t>27.6|3 27.2|3</t>
  </si>
  <si>
    <t>26.4|3</t>
  </si>
  <si>
    <t>27.7|6 27.3|3</t>
  </si>
  <si>
    <t>30.0|3 27.9|3</t>
  </si>
  <si>
    <t>27.5|3 27.1|3</t>
  </si>
  <si>
    <t>28.0|3 26.5|3</t>
  </si>
  <si>
    <t>29.1|3 27.0|3</t>
  </si>
  <si>
    <t>26.7|3 26.3|3 25.1|3</t>
  </si>
  <si>
    <t>29.7|3 28.7|3</t>
  </si>
  <si>
    <t>Slokken</t>
  </si>
  <si>
    <t>29.2|3 28.0|3</t>
  </si>
  <si>
    <t>27.0|3 25.7|3</t>
  </si>
  <si>
    <t>25.5|3 25.4|3</t>
  </si>
  <si>
    <t>27.9|3 27.1|3 26.9|3</t>
  </si>
  <si>
    <t>27.6|3</t>
  </si>
  <si>
    <t>27.4|3 26.1|3</t>
  </si>
  <si>
    <t>26.0|3</t>
  </si>
  <si>
    <t>26.0|3 25.7|3 24.8|3</t>
  </si>
  <si>
    <t>31.2|3 30.7|3</t>
  </si>
  <si>
    <t>29.6|3 27.7|3</t>
  </si>
  <si>
    <t>30.1|3 27.8|3</t>
  </si>
  <si>
    <t>28.2|3</t>
  </si>
  <si>
    <t>27.9|3 26.6|3</t>
  </si>
  <si>
    <t>29.4|3 28.9|3 27.2|3</t>
  </si>
  <si>
    <t>30.4|3 30.1|3</t>
  </si>
  <si>
    <t>31.6|3 28.3|3 27.5|3</t>
  </si>
  <si>
    <t>28.3|3 27.7|3</t>
  </si>
  <si>
    <t>Setup</t>
  </si>
  <si>
    <t>Results</t>
  </si>
  <si>
    <t>Single Measurement</t>
  </si>
  <si>
    <t>Multiple Measurements</t>
  </si>
  <si>
    <t>29.4|3 28.6|3</t>
  </si>
  <si>
    <t>28.9|3</t>
  </si>
  <si>
    <t>29.3|3 28.4|3 28.5|3</t>
  </si>
  <si>
    <t>31.2|3 30.9|3 29.4|3</t>
  </si>
  <si>
    <t>28.6|3</t>
  </si>
  <si>
    <t>31.8|3 30.4|3</t>
  </si>
  <si>
    <t>32.5|3</t>
  </si>
  <si>
    <t>32.6|3 32.0|3 30.6|3</t>
  </si>
  <si>
    <t>30.0|3</t>
  </si>
  <si>
    <t>29.0|3 28.6|3 27.9|3</t>
  </si>
  <si>
    <t>29.6|3 28.7|3 27.8|3</t>
  </si>
  <si>
    <t>30.4|3 30.2|3</t>
  </si>
  <si>
    <t>30.6|3 30.5|3</t>
  </si>
  <si>
    <t>31.5|3</t>
  </si>
  <si>
    <t>32.2|3 31.8|3 31.2|3</t>
  </si>
  <si>
    <t>32.0|3 31.2|3 29.6|3</t>
  </si>
  <si>
    <t>29.7|3 29.3|3</t>
  </si>
  <si>
    <t>31.2|3 30.1|3 29.5|3</t>
  </si>
  <si>
    <t>31.1|3 30.5|3 30.1|3</t>
  </si>
  <si>
    <t>32.0|3 30.1|3</t>
  </si>
  <si>
    <t>31.2|3 29.9|3</t>
  </si>
  <si>
    <t>31.2|3 30.5|3</t>
  </si>
  <si>
    <t>31.0|3 30.3|3 29.8|3</t>
  </si>
  <si>
    <t>31.2|3 31.1|30.4|3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</si>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</sst>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14" fontId="0" fillId="0" borderId="0" xfId="0" applyNumberFormat="1"/>
    <xf numFmtId="0" fontId="5" fillId="0" borderId="0" xfId="0" applyFont="1"/>
    <xf numFmtId="14" fontId="1" fillId="0" borderId="0" xfId="0" applyNumberFormat="1" applyFont="1"/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right"/>
    </xf>
    <xf numFmtId="9" fontId="0" fillId="0" borderId="0" xfId="1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Procent" xfId="1" builtinId="5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Harvested Energy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'Brace 2 - 200 mL'!$H$1</c:f>
              <c:strCache>
                <c:ptCount val="1"/>
                <c:pt idx="0">
                  <c:v>Energy [µJ]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5.3992563429571303E-2"/>
                  <c:y val="-0.451374307378244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'Brace 2 - 200 mL'!$D$2:$D$69</c:f>
              <c:numCache>
                <c:formatCode>General</c:formatCode>
                <c:ptCount val="6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40</c:v>
                </c:pt>
                <c:pt idx="57">
                  <c:v>40</c:v>
                </c:pt>
                <c:pt idx="58">
                  <c:v>40</c:v>
                </c:pt>
                <c:pt idx="59">
                  <c:v>45</c:v>
                </c:pt>
                <c:pt idx="60">
                  <c:v>45</c:v>
                </c:pt>
                <c:pt idx="61">
                  <c:v>45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55</c:v>
                </c:pt>
                <c:pt idx="66">
                  <c:v>55</c:v>
                </c:pt>
                <c:pt idx="67">
                  <c:v>55</c:v>
                </c:pt>
              </c:numCache>
            </c:numRef>
          </c:xVal>
          <c:yVal>
            <c:numRef>
              <c:f>'Brace 2 - 200 mL'!$H$2:$H$69</c:f>
              <c:numCache>
                <c:formatCode>0</c:formatCode>
                <c:ptCount val="68"/>
                <c:pt idx="0">
                  <c:v>7185.2577280000005</c:v>
                </c:pt>
                <c:pt idx="1">
                  <c:v>4904.4687999999996</c:v>
                </c:pt>
                <c:pt idx="2">
                  <c:v>5280.8530720000008</c:v>
                </c:pt>
                <c:pt idx="3">
                  <c:v>311.32499200000001</c:v>
                </c:pt>
                <c:pt idx="4">
                  <c:v>421.56645300000002</c:v>
                </c:pt>
                <c:pt idx="5">
                  <c:v>2704.1007729999997</c:v>
                </c:pt>
                <c:pt idx="6">
                  <c:v>2438.9909280000002</c:v>
                </c:pt>
                <c:pt idx="7">
                  <c:v>667.1864320000002</c:v>
                </c:pt>
                <c:pt idx="8">
                  <c:v>642.74732500000005</c:v>
                </c:pt>
                <c:pt idx="9">
                  <c:v>2730.1756679999999</c:v>
                </c:pt>
                <c:pt idx="10">
                  <c:v>2761.2250239999998</c:v>
                </c:pt>
                <c:pt idx="11">
                  <c:v>880.84</c:v>
                </c:pt>
                <c:pt idx="12">
                  <c:v>885.48209999999995</c:v>
                </c:pt>
                <c:pt idx="13">
                  <c:v>794.95809999999994</c:v>
                </c:pt>
                <c:pt idx="14">
                  <c:v>1646.903376</c:v>
                </c:pt>
                <c:pt idx="15">
                  <c:v>3692.2324000000003</c:v>
                </c:pt>
                <c:pt idx="16">
                  <c:v>4295.9655039999998</c:v>
                </c:pt>
                <c:pt idx="17">
                  <c:v>4293.9181000000008</c:v>
                </c:pt>
                <c:pt idx="18">
                  <c:v>4293.9181000000008</c:v>
                </c:pt>
                <c:pt idx="19">
                  <c:v>4300.0617760000014</c:v>
                </c:pt>
                <c:pt idx="20">
                  <c:v>2355.4415560000007</c:v>
                </c:pt>
                <c:pt idx="21">
                  <c:v>1589.099776</c:v>
                </c:pt>
                <c:pt idx="22">
                  <c:v>1322.3784959999998</c:v>
                </c:pt>
                <c:pt idx="23">
                  <c:v>861.476404</c:v>
                </c:pt>
                <c:pt idx="24">
                  <c:v>927.81</c:v>
                </c:pt>
                <c:pt idx="25">
                  <c:v>344.36793599999999</c:v>
                </c:pt>
                <c:pt idx="26">
                  <c:v>2284.7183999999997</c:v>
                </c:pt>
                <c:pt idx="27">
                  <c:v>2649.1141000000002</c:v>
                </c:pt>
                <c:pt idx="28">
                  <c:v>2828.9421000000007</c:v>
                </c:pt>
                <c:pt idx="29">
                  <c:v>1503.1190560000002</c:v>
                </c:pt>
                <c:pt idx="30">
                  <c:v>2090.4282760000001</c:v>
                </c:pt>
                <c:pt idx="31">
                  <c:v>520.11039999999991</c:v>
                </c:pt>
                <c:pt idx="32">
                  <c:v>190.67526400000003</c:v>
                </c:pt>
                <c:pt idx="33">
                  <c:v>615.30553600000007</c:v>
                </c:pt>
                <c:pt idx="34">
                  <c:v>199.40070399999999</c:v>
                </c:pt>
                <c:pt idx="35">
                  <c:v>49.850175999999998</c:v>
                </c:pt>
                <c:pt idx="36">
                  <c:v>340.321684</c:v>
                </c:pt>
                <c:pt idx="37">
                  <c:v>563.73760000000004</c:v>
                </c:pt>
                <c:pt idx="38">
                  <c:v>1006.490484</c:v>
                </c:pt>
                <c:pt idx="39">
                  <c:v>617.63256399999989</c:v>
                </c:pt>
                <c:pt idx="40">
                  <c:v>7.5693969999999995</c:v>
                </c:pt>
                <c:pt idx="41">
                  <c:v>140.33499700000002</c:v>
                </c:pt>
                <c:pt idx="42">
                  <c:v>145.04360399999999</c:v>
                </c:pt>
                <c:pt idx="43">
                  <c:v>48.101184000000003</c:v>
                </c:pt>
                <c:pt idx="44">
                  <c:v>1.5616000000000001</c:v>
                </c:pt>
                <c:pt idx="45">
                  <c:v>83.217663999999985</c:v>
                </c:pt>
                <c:pt idx="46">
                  <c:v>1.6809160000000003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1.5616E-2</c:v>
                </c:pt>
                <c:pt idx="60">
                  <c:v>7.9056000000000015E-2</c:v>
                </c:pt>
                <c:pt idx="61">
                  <c:v>3.5136000000000001E-2</c:v>
                </c:pt>
                <c:pt idx="62">
                  <c:v>62.967616</c:v>
                </c:pt>
                <c:pt idx="63">
                  <c:v>5.4899999999999997E-2</c:v>
                </c:pt>
                <c:pt idx="64">
                  <c:v>2.4399999999999999E-4</c:v>
                </c:pt>
                <c:pt idx="65">
                  <c:v>34.129744000000002</c:v>
                </c:pt>
                <c:pt idx="66">
                  <c:v>13.474900000000002</c:v>
                </c:pt>
                <c:pt idx="67">
                  <c:v>2.4399999999999999E-4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5E-4A7C-80E1-4D741CC7B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77519"/>
        <c:axId val="142678959"/>
      </c:scatterChart>
      <c:valAx>
        <c:axId val="142677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Temperature [C]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2678959"/>
        <c:crosses val="autoZero"/>
        <c:crossBetween val="midCat"/>
      </c:valAx>
      <c:valAx>
        <c:axId val="14267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Energy [µJ]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2677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Harvested Energy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'Brace 2 - 200 mL (Intelval)'!$H$1</c:f>
              <c:strCache>
                <c:ptCount val="1"/>
                <c:pt idx="0">
                  <c:v>Energy [µJ]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5.3992563429571303E-2"/>
                  <c:y val="-0.451374307378244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'Brace 2 - 200 mL (Intelval)'!$D$2:$D$69</c:f>
              <c:numCache>
                <c:formatCode>General</c:formatCode>
                <c:ptCount val="68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</c:numCache>
            </c:numRef>
          </c:xVal>
          <c:yVal>
            <c:numRef>
              <c:f>'Brace 2 - 200 mL (Intelval)'!$H$2:$H$69</c:f>
              <c:numCache>
                <c:formatCode>0</c:formatCode>
                <c:ptCount val="68"/>
                <c:pt idx="0">
                  <c:v>88.720596</c:v>
                </c:pt>
                <c:pt idx="1">
                  <c:v>162.07089999999999</c:v>
                </c:pt>
                <c:pt idx="2">
                  <c:v>1070.9221000000002</c:v>
                </c:pt>
                <c:pt idx="3">
                  <c:v>17.787600000000001</c:v>
                </c:pt>
                <c:pt idx="4">
                  <c:v>117.18075600000002</c:v>
                </c:pt>
                <c:pt idx="5">
                  <c:v>31.622399999999999</c:v>
                </c:pt>
                <c:pt idx="6">
                  <c:v>881.76744399999995</c:v>
                </c:pt>
                <c:pt idx="7">
                  <c:v>54.820944000000011</c:v>
                </c:pt>
                <c:pt idx="8">
                  <c:v>96.53640399999999</c:v>
                </c:pt>
                <c:pt idx="9">
                  <c:v>55.750096000000006</c:v>
                </c:pt>
                <c:pt idx="10">
                  <c:v>3.3974560000000005</c:v>
                </c:pt>
                <c:pt idx="11">
                  <c:v>7.3873440000000006</c:v>
                </c:pt>
                <c:pt idx="12">
                  <c:v>3.3974560000000005</c:v>
                </c:pt>
                <c:pt idx="13">
                  <c:v>20.379123999999994</c:v>
                </c:pt>
                <c:pt idx="14">
                  <c:v>10.354384000000001</c:v>
                </c:pt>
                <c:pt idx="15">
                  <c:v>20.379123999999994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B8-47F9-A948-003C767B8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77519"/>
        <c:axId val="142678959"/>
      </c:scatterChart>
      <c:valAx>
        <c:axId val="142677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Temperature [C]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2678959"/>
        <c:crosses val="autoZero"/>
        <c:crossBetween val="midCat"/>
      </c:valAx>
      <c:valAx>
        <c:axId val="14267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Energy [µJ]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2677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Harvested Energy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'Brace 2 - 100 mL'!$H$1</c:f>
              <c:strCache>
                <c:ptCount val="1"/>
                <c:pt idx="0">
                  <c:v>Energy [µJ]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5.3992563429571303E-2"/>
                  <c:y val="-0.451374307378244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'Brace 2 - 100 mL'!$D$2:$D$44</c:f>
              <c:numCache>
                <c:formatCode>General</c:formatCode>
                <c:ptCount val="43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</c:numCache>
            </c:numRef>
          </c:xVal>
          <c:yVal>
            <c:numRef>
              <c:f>'Brace 2 - 100 mL'!$H$2:$H$44</c:f>
              <c:numCache>
                <c:formatCode>0</c:formatCode>
                <c:ptCount val="43"/>
                <c:pt idx="0">
                  <c:v>35.233600000000003</c:v>
                </c:pt>
                <c:pt idx="1">
                  <c:v>267.47499599999992</c:v>
                </c:pt>
                <c:pt idx="2">
                  <c:v>369.14760000000001</c:v>
                </c:pt>
                <c:pt idx="3">
                  <c:v>278.83368399999995</c:v>
                </c:pt>
                <c:pt idx="4">
                  <c:v>18.052096000000002</c:v>
                </c:pt>
                <c:pt idx="5">
                  <c:v>351.36</c:v>
                </c:pt>
                <c:pt idx="6">
                  <c:v>196.32459600000001</c:v>
                </c:pt>
                <c:pt idx="7">
                  <c:v>117.85810000000002</c:v>
                </c:pt>
                <c:pt idx="8">
                  <c:v>182.5669</c:v>
                </c:pt>
                <c:pt idx="9">
                  <c:v>157.72550400000003</c:v>
                </c:pt>
                <c:pt idx="10">
                  <c:v>135.42609999999999</c:v>
                </c:pt>
                <c:pt idx="11">
                  <c:v>316.54632399999997</c:v>
                </c:pt>
                <c:pt idx="12">
                  <c:v>1416.0005640000004</c:v>
                </c:pt>
                <c:pt idx="13">
                  <c:v>616.85640000000012</c:v>
                </c:pt>
                <c:pt idx="14">
                  <c:v>366.15250000000009</c:v>
                </c:pt>
                <c:pt idx="15">
                  <c:v>997.59009600000024</c:v>
                </c:pt>
                <c:pt idx="16">
                  <c:v>773.08960000000002</c:v>
                </c:pt>
                <c:pt idx="17">
                  <c:v>2304.1722759999998</c:v>
                </c:pt>
                <c:pt idx="18">
                  <c:v>1103.8874760000003</c:v>
                </c:pt>
                <c:pt idx="19">
                  <c:v>628.55010000000004</c:v>
                </c:pt>
                <c:pt idx="20">
                  <c:v>419.36792399999996</c:v>
                </c:pt>
                <c:pt idx="21">
                  <c:v>706.82017599999995</c:v>
                </c:pt>
                <c:pt idx="22">
                  <c:v>273.64136400000001</c:v>
                </c:pt>
                <c:pt idx="23">
                  <c:v>187.66747599999997</c:v>
                </c:pt>
                <c:pt idx="24">
                  <c:v>142.79489999999998</c:v>
                </c:pt>
                <c:pt idx="25">
                  <c:v>18.452500000000004</c:v>
                </c:pt>
                <c:pt idx="26">
                  <c:v>42.225664000000016</c:v>
                </c:pt>
                <c:pt idx="27">
                  <c:v>13.589824000000002</c:v>
                </c:pt>
                <c:pt idx="28">
                  <c:v>113.49025600000002</c:v>
                </c:pt>
                <c:pt idx="29">
                  <c:v>944.05771600000003</c:v>
                </c:pt>
                <c:pt idx="30">
                  <c:v>6.5626240000000005</c:v>
                </c:pt>
                <c:pt idx="31">
                  <c:v>20.098036000000004</c:v>
                </c:pt>
                <c:pt idx="32">
                  <c:v>6.6429</c:v>
                </c:pt>
                <c:pt idx="33">
                  <c:v>14.886196</c:v>
                </c:pt>
                <c:pt idx="34">
                  <c:v>6.8049160000000013</c:v>
                </c:pt>
                <c:pt idx="35">
                  <c:v>0.49409999999999998</c:v>
                </c:pt>
                <c:pt idx="36">
                  <c:v>8.9013639999999992</c:v>
                </c:pt>
                <c:pt idx="37">
                  <c:v>20.520399999999999</c:v>
                </c:pt>
                <c:pt idx="38">
                  <c:v>12.573076</c:v>
                </c:pt>
                <c:pt idx="39">
                  <c:v>1.3725000000000001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D1-423E-8ADE-3E4A3E1F8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77519"/>
        <c:axId val="142678959"/>
      </c:scatterChart>
      <c:valAx>
        <c:axId val="142677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Temperature [C]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2678959"/>
        <c:crosses val="autoZero"/>
        <c:crossBetween val="midCat"/>
      </c:valAx>
      <c:valAx>
        <c:axId val="14267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Energy [µJ]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2677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Harvested Energy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'Brace 3 - 200 mL'!$H$1</c:f>
              <c:strCache>
                <c:ptCount val="1"/>
                <c:pt idx="0">
                  <c:v>Energy [µJ]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5.3992563429571303E-2"/>
                  <c:y val="-0.451374307378244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'Brace 3 - 200 mL'!$D$2:$D$100</c:f>
              <c:numCache>
                <c:formatCode>General</c:formatCode>
                <c:ptCount val="7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</c:numCache>
            </c:numRef>
          </c:xVal>
          <c:yVal>
            <c:numRef>
              <c:f>'Brace 3 - 200 mL'!$H$2:$H$100</c:f>
              <c:numCache>
                <c:formatCode>0</c:formatCode>
                <c:ptCount val="79"/>
                <c:pt idx="0">
                  <c:v>4304.1600000000008</c:v>
                </c:pt>
                <c:pt idx="1">
                  <c:v>5084.4344320000009</c:v>
                </c:pt>
                <c:pt idx="2">
                  <c:v>4435.3641970000008</c:v>
                </c:pt>
                <c:pt idx="3">
                  <c:v>5100.6604770000004</c:v>
                </c:pt>
                <c:pt idx="4">
                  <c:v>4085.1897569999996</c:v>
                </c:pt>
                <c:pt idx="5">
                  <c:v>4468.7411999999995</c:v>
                </c:pt>
                <c:pt idx="6">
                  <c:v>3220.9182719999999</c:v>
                </c:pt>
                <c:pt idx="7">
                  <c:v>4796.7859720000006</c:v>
                </c:pt>
                <c:pt idx="8">
                  <c:v>4225.8964770000002</c:v>
                </c:pt>
                <c:pt idx="9">
                  <c:v>4125.9831250000007</c:v>
                </c:pt>
                <c:pt idx="10">
                  <c:v>2438.0287239999998</c:v>
                </c:pt>
                <c:pt idx="11">
                  <c:v>3462.4305159999999</c:v>
                </c:pt>
                <c:pt idx="12">
                  <c:v>2453.4788040000003</c:v>
                </c:pt>
                <c:pt idx="13">
                  <c:v>2254.9504000000002</c:v>
                </c:pt>
                <c:pt idx="14">
                  <c:v>1155.3341440000002</c:v>
                </c:pt>
                <c:pt idx="15">
                  <c:v>2149.4018559999995</c:v>
                </c:pt>
                <c:pt idx="16">
                  <c:v>2163.9100960000001</c:v>
                </c:pt>
                <c:pt idx="17">
                  <c:v>1342.906704</c:v>
                </c:pt>
                <c:pt idx="18">
                  <c:v>2528.3184839999999</c:v>
                </c:pt>
                <c:pt idx="19">
                  <c:v>2313.1788040000001</c:v>
                </c:pt>
                <c:pt idx="20">
                  <c:v>1047.5368960000001</c:v>
                </c:pt>
                <c:pt idx="21">
                  <c:v>1016.4261639999997</c:v>
                </c:pt>
                <c:pt idx="22">
                  <c:v>524.39406400000007</c:v>
                </c:pt>
                <c:pt idx="23">
                  <c:v>623.85944400000005</c:v>
                </c:pt>
                <c:pt idx="24">
                  <c:v>421.289424</c:v>
                </c:pt>
                <c:pt idx="25">
                  <c:v>746.39624400000014</c:v>
                </c:pt>
                <c:pt idx="26">
                  <c:v>1495.8605439999999</c:v>
                </c:pt>
                <c:pt idx="27">
                  <c:v>416.81275599999998</c:v>
                </c:pt>
                <c:pt idx="28">
                  <c:v>771.353296</c:v>
                </c:pt>
                <c:pt idx="29">
                  <c:v>1034.433364</c:v>
                </c:pt>
                <c:pt idx="30">
                  <c:v>251.37490000000005</c:v>
                </c:pt>
                <c:pt idx="31">
                  <c:v>184.68360000000001</c:v>
                </c:pt>
                <c:pt idx="32">
                  <c:v>116.16840000000002</c:v>
                </c:pt>
                <c:pt idx="33">
                  <c:v>160.08840000000001</c:v>
                </c:pt>
                <c:pt idx="34">
                  <c:v>28.873984000000004</c:v>
                </c:pt>
                <c:pt idx="35">
                  <c:v>97.15128399999999</c:v>
                </c:pt>
                <c:pt idx="36">
                  <c:v>132.173824</c:v>
                </c:pt>
                <c:pt idx="37">
                  <c:v>81.516495999999975</c:v>
                </c:pt>
                <c:pt idx="38">
                  <c:v>111.17250000000001</c:v>
                </c:pt>
                <c:pt idx="39">
                  <c:v>37.494016000000009</c:v>
                </c:pt>
                <c:pt idx="40">
                  <c:v>10.354384000000001</c:v>
                </c:pt>
                <c:pt idx="41">
                  <c:v>7.9056000000000015E-2</c:v>
                </c:pt>
                <c:pt idx="42">
                  <c:v>2.7415839999999996</c:v>
                </c:pt>
                <c:pt idx="43">
                  <c:v>2.1559840000000001</c:v>
                </c:pt>
                <c:pt idx="44">
                  <c:v>3.7517439999999995</c:v>
                </c:pt>
                <c:pt idx="45">
                  <c:v>4.7824000000000009</c:v>
                </c:pt>
                <c:pt idx="46">
                  <c:v>2.248704</c:v>
                </c:pt>
                <c:pt idx="47">
                  <c:v>1.6809160000000003</c:v>
                </c:pt>
                <c:pt idx="48">
                  <c:v>0</c:v>
                </c:pt>
                <c:pt idx="49">
                  <c:v>8.8083999999999996E-2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81-451F-92E3-05D8CDF28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77519"/>
        <c:axId val="142678959"/>
      </c:scatterChart>
      <c:valAx>
        <c:axId val="142677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Temperature [C]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2678959"/>
        <c:crosses val="autoZero"/>
        <c:crossBetween val="midCat"/>
      </c:valAx>
      <c:valAx>
        <c:axId val="14267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Energy [µJ]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2677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Succes</a:t>
            </a:r>
            <a:r>
              <a:rPr lang="nl-NL" baseline="0"/>
              <a:t> rate with 100ml water - n:10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'Brace 5 - 100 mL'!$N$33</c:f>
              <c:strCache>
                <c:ptCount val="1"/>
                <c:pt idx="0">
                  <c:v>Single Measurement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'Brace 5 - 100 mL'!$O$32:$Y$32</c:f>
              <c:numCache>
                <c:formatCode>General</c:formatCode>
                <c:ptCount val="11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</c:numCache>
            </c:numRef>
          </c:xVal>
          <c:yVal>
            <c:numRef>
              <c:f>'Brace 5 - 100 mL'!$O$33:$Y$33</c:f>
              <c:numCache>
                <c:formatCode>0%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</c:v>
                </c:pt>
                <c:pt idx="5">
                  <c:v>1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0.3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3A-4221-8037-BAA85525D13B}"/>
            </c:ext>
          </c:extLst>
        </c:ser>
        <c:ser>
          <c:idx val="1"/>
          <c:order val="1"/>
          <c:tx>
            <c:strRef>
              <c:f>'Brace 5 - 100 mL'!$N$34</c:f>
              <c:strCache>
                <c:ptCount val="1"/>
                <c:pt idx="0">
                  <c:v>Multiple Measurements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'Brace 5 - 100 mL'!$O$32:$Y$32</c:f>
              <c:numCache>
                <c:formatCode>General</c:formatCode>
                <c:ptCount val="11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</c:numCache>
            </c:numRef>
          </c:xVal>
          <c:yVal>
            <c:numRef>
              <c:f>'Brace 5 - 100 mL'!$O$34:$Y$34</c:f>
              <c:numCache>
                <c:formatCode>0%</c:formatCode>
                <c:ptCount val="11"/>
                <c:pt idx="0">
                  <c:v>1</c:v>
                </c:pt>
                <c:pt idx="1">
                  <c:v>0.7</c:v>
                </c:pt>
                <c:pt idx="2">
                  <c:v>0.9</c:v>
                </c:pt>
                <c:pt idx="3">
                  <c:v>0.7</c:v>
                </c:pt>
                <c:pt idx="4">
                  <c:v>0.9</c:v>
                </c:pt>
                <c:pt idx="5">
                  <c:v>0.6</c:v>
                </c:pt>
                <c:pt idx="6">
                  <c:v>0.3</c:v>
                </c:pt>
                <c:pt idx="7">
                  <c:v>0.2</c:v>
                </c:pt>
                <c:pt idx="8">
                  <c:v>0.3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3A-4221-8037-BAA85525D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597232"/>
        <c:axId val="1193754432"/>
      </c:scatterChart>
      <c:valAx>
        <c:axId val="1189597232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Water 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93754432"/>
        <c:crosses val="autoZero"/>
        <c:crossBetween val="midCat"/>
      </c:valAx>
      <c:valAx>
        <c:axId val="119375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89597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'1S'!$D$3:$D$10</c:f>
              <c:numCache>
                <c:formatCode>General</c:formatCode>
                <c:ptCount val="8"/>
                <c:pt idx="0">
                  <c:v>42.2</c:v>
                </c:pt>
                <c:pt idx="1">
                  <c:v>62</c:v>
                </c:pt>
                <c:pt idx="2">
                  <c:v>50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</c:v>
                </c:pt>
              </c:numCache>
            </c:numRef>
          </c:xVal>
          <c:yVal>
            <c:numRef>
              <c:f>'1S'!$E$3:$E$10</c:f>
              <c:numCache>
                <c:formatCode>General</c:formatCode>
                <c:ptCount val="8"/>
                <c:pt idx="0">
                  <c:v>10.7</c:v>
                </c:pt>
                <c:pt idx="1">
                  <c:v>24.8</c:v>
                </c:pt>
                <c:pt idx="2">
                  <c:v>15</c:v>
                </c:pt>
                <c:pt idx="4">
                  <c:v>-16.8</c:v>
                </c:pt>
                <c:pt idx="5">
                  <c:v>-25.6</c:v>
                </c:pt>
                <c:pt idx="6">
                  <c:v>-25.7</c:v>
                </c:pt>
                <c:pt idx="7">
                  <c:v>-50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5C-436A-8F33-215DDB1BD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999071"/>
        <c:axId val="546243535"/>
      </c:scatterChart>
      <c:valAx>
        <c:axId val="40599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46243535"/>
        <c:crosses val="autoZero"/>
        <c:crossBetween val="midCat"/>
      </c:valAx>
      <c:valAx>
        <c:axId val="54624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05999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Energy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nl-NL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Energy</a:t>
          </a:r>
        </a:p>
      </cx:txPr>
    </cx:title>
    <cx:plotArea>
      <cx:plotAreaRegion>
        <cx:series layoutId="boxWhisker" uniqueId="{DA55B7CF-364B-4D18-996D-DD30D5B40CA5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200ml Water @ 10C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nl-NL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200ml Water @ 10C</a:t>
              </a:r>
            </a:p>
          </cx:txPr>
        </cx:title>
        <cx:tickLabels/>
      </cx:axis>
      <cx:axis id="1">
        <cx:valScaling/>
        <cx:title>
          <cx:tx>
            <cx:txData>
              <cx:v>uJ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nl-NL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uJ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64190</xdr:colOff>
      <xdr:row>4</xdr:row>
      <xdr:rowOff>42109</xdr:rowOff>
    </xdr:from>
    <xdr:to>
      <xdr:col>1</xdr:col>
      <xdr:colOff>1684190</xdr:colOff>
      <xdr:row>4</xdr:row>
      <xdr:rowOff>1514711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744E4732-D2CA-B59A-F985-25BBEB30EB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82" t="8716" r="19727" b="3940"/>
        <a:stretch/>
      </xdr:blipFill>
      <xdr:spPr>
        <a:xfrm rot="5400000">
          <a:off x="328389" y="4683285"/>
          <a:ext cx="1472602" cy="16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58410</xdr:colOff>
      <xdr:row>3</xdr:row>
      <xdr:rowOff>35502</xdr:rowOff>
    </xdr:from>
    <xdr:to>
      <xdr:col>1</xdr:col>
      <xdr:colOff>1678410</xdr:colOff>
      <xdr:row>3</xdr:row>
      <xdr:rowOff>1348472</xdr:rowOff>
    </xdr:to>
    <xdr:pic>
      <xdr:nvPicPr>
        <xdr:cNvPr id="7" name="Afbeelding 6">
          <a:extLst>
            <a:ext uri="{FF2B5EF4-FFF2-40B4-BE49-F238E27FC236}">
              <a16:creationId xmlns:a16="http://schemas.microsoft.com/office/drawing/2014/main" id="{63FC4D22-B4CA-F1CA-6125-49A3C696E6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804" b="11384"/>
        <a:stretch/>
      </xdr:blipFill>
      <xdr:spPr>
        <a:xfrm>
          <a:off x="248910" y="3369252"/>
          <a:ext cx="1620000" cy="1312970"/>
        </a:xfrm>
        <a:prstGeom prst="rect">
          <a:avLst/>
        </a:prstGeom>
      </xdr:spPr>
    </xdr:pic>
    <xdr:clientData/>
  </xdr:twoCellAnchor>
  <xdr:twoCellAnchor editAs="oneCell">
    <xdr:from>
      <xdr:col>1</xdr:col>
      <xdr:colOff>61206</xdr:colOff>
      <xdr:row>2</xdr:row>
      <xdr:rowOff>39832</xdr:rowOff>
    </xdr:from>
    <xdr:to>
      <xdr:col>1</xdr:col>
      <xdr:colOff>1681206</xdr:colOff>
      <xdr:row>2</xdr:row>
      <xdr:rowOff>1537493</xdr:rowOff>
    </xdr:to>
    <xdr:pic>
      <xdr:nvPicPr>
        <xdr:cNvPr id="9" name="Afbeelding 8">
          <a:extLst>
            <a:ext uri="{FF2B5EF4-FFF2-40B4-BE49-F238E27FC236}">
              <a16:creationId xmlns:a16="http://schemas.microsoft.com/office/drawing/2014/main" id="{2DB14936-A603-57FF-4529-421C2C6C9F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448" r="10796" b="12707"/>
        <a:stretch/>
      </xdr:blipFill>
      <xdr:spPr>
        <a:xfrm>
          <a:off x="670806" y="1811482"/>
          <a:ext cx="1620000" cy="1497661"/>
        </a:xfrm>
        <a:prstGeom prst="rect">
          <a:avLst/>
        </a:prstGeom>
      </xdr:spPr>
    </xdr:pic>
    <xdr:clientData/>
  </xdr:twoCellAnchor>
  <xdr:twoCellAnchor editAs="oneCell">
    <xdr:from>
      <xdr:col>1</xdr:col>
      <xdr:colOff>45086</xdr:colOff>
      <xdr:row>1</xdr:row>
      <xdr:rowOff>40697</xdr:rowOff>
    </xdr:from>
    <xdr:to>
      <xdr:col>1</xdr:col>
      <xdr:colOff>1665086</xdr:colOff>
      <xdr:row>1</xdr:row>
      <xdr:rowOff>1548509</xdr:rowOff>
    </xdr:to>
    <xdr:pic>
      <xdr:nvPicPr>
        <xdr:cNvPr id="11" name="Afbeelding 10">
          <a:extLst>
            <a:ext uri="{FF2B5EF4-FFF2-40B4-BE49-F238E27FC236}">
              <a16:creationId xmlns:a16="http://schemas.microsoft.com/office/drawing/2014/main" id="{878E4B4C-C725-A160-0D8F-379F7F3E72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3" t="36157" r="13683" b="5992"/>
        <a:stretch/>
      </xdr:blipFill>
      <xdr:spPr>
        <a:xfrm>
          <a:off x="654686" y="231197"/>
          <a:ext cx="1620000" cy="15078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66676</xdr:colOff>
      <xdr:row>5</xdr:row>
      <xdr:rowOff>28584</xdr:rowOff>
    </xdr:from>
    <xdr:to>
      <xdr:col>1</xdr:col>
      <xdr:colOff>1686676</xdr:colOff>
      <xdr:row>5</xdr:row>
      <xdr:rowOff>1143912</xdr:rowOff>
    </xdr:to>
    <xdr:pic>
      <xdr:nvPicPr>
        <xdr:cNvPr id="8" name="Afbeelding 7">
          <a:extLst>
            <a:ext uri="{FF2B5EF4-FFF2-40B4-BE49-F238E27FC236}">
              <a16:creationId xmlns:a16="http://schemas.microsoft.com/office/drawing/2014/main" id="{B0043714-D1CA-CC17-93DE-6DC79AFD92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6" t="16382" r="12373" b="41761"/>
        <a:stretch/>
      </xdr:blipFill>
      <xdr:spPr>
        <a:xfrm>
          <a:off x="257176" y="6315084"/>
          <a:ext cx="1620000" cy="11153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546389</xdr:colOff>
      <xdr:row>10</xdr:row>
      <xdr:rowOff>135515</xdr:rowOff>
    </xdr:from>
    <xdr:to>
      <xdr:col>19</xdr:col>
      <xdr:colOff>241589</xdr:colOff>
      <xdr:row>25</xdr:row>
      <xdr:rowOff>21215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172EA837-9FE3-0852-C841-D59BB3A6E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11</xdr:row>
      <xdr:rowOff>14287</xdr:rowOff>
    </xdr:from>
    <xdr:to>
      <xdr:col>16</xdr:col>
      <xdr:colOff>276225</xdr:colOff>
      <xdr:row>25</xdr:row>
      <xdr:rowOff>90487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D82108BF-AB53-4C70-A923-59DE27512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11</xdr:row>
      <xdr:rowOff>14287</xdr:rowOff>
    </xdr:from>
    <xdr:to>
      <xdr:col>16</xdr:col>
      <xdr:colOff>276225</xdr:colOff>
      <xdr:row>25</xdr:row>
      <xdr:rowOff>90487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BFB6EB46-FBFA-49B1-B039-44B2C08881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40415</xdr:colOff>
      <xdr:row>7</xdr:row>
      <xdr:rowOff>2</xdr:rowOff>
    </xdr:from>
    <xdr:to>
      <xdr:col>20</xdr:col>
      <xdr:colOff>437634</xdr:colOff>
      <xdr:row>26</xdr:row>
      <xdr:rowOff>102974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CE2AD1BA-2B37-4895-ACEA-22D0CDB70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34</xdr:row>
      <xdr:rowOff>185737</xdr:rowOff>
    </xdr:from>
    <xdr:to>
      <xdr:col>20</xdr:col>
      <xdr:colOff>323850</xdr:colOff>
      <xdr:row>49</xdr:row>
      <xdr:rowOff>71437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12B86D60-BF41-E5F6-305A-F8DCCDDA6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561975</xdr:colOff>
      <xdr:row>0</xdr:row>
      <xdr:rowOff>0</xdr:rowOff>
    </xdr:from>
    <xdr:to>
      <xdr:col>15</xdr:col>
      <xdr:colOff>219075</xdr:colOff>
      <xdr:row>14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ek 1">
              <a:extLst>
                <a:ext uri="{FF2B5EF4-FFF2-40B4-BE49-F238E27FC236}">
                  <a16:creationId xmlns:a16="http://schemas.microsoft.com/office/drawing/2014/main" id="{706F5A22-EDE6-5778-829E-C17E11E276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00875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l-NL" sz="1100"/>
                <a:t>Deze grafiek is niet beschikbaar in uw versie van Excel.
Als u deze vorm bewerkt of deze werkmap opslaat in een andere bestandsindeling, wordt de grafiek onherstelbaar beschadigd.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219075</xdr:colOff>
      <xdr:row>11</xdr:row>
      <xdr:rowOff>52387</xdr:rowOff>
    </xdr:from>
    <xdr:to>
      <xdr:col>15</xdr:col>
      <xdr:colOff>523875</xdr:colOff>
      <xdr:row>25</xdr:row>
      <xdr:rowOff>128587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3C8F6201-2353-AFAD-0E8E-66DDECD0B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55153-A4D5-4ED0-8112-6B0FE76DB9F9}">
  <dimension ref="A1:C6"/>
  <sheetViews>
    <sheetView topLeftCell="A2" zoomScaleNormal="100" workbookViewId="0">
      <selection activeCell="F4" sqref="F4"/>
    </sheetView>
  </sheetViews>
  <sheetFormatPr defaultRowHeight="15" x14ac:dyDescent="0.25"/>
  <cols>
    <col min="1" max="1" width="2.85546875" customWidth="1"/>
    <col min="2" max="2" width="26.140625" customWidth="1"/>
    <col min="3" max="3" width="24.42578125" customWidth="1"/>
    <col min="10" max="10" width="10.42578125" customWidth="1"/>
  </cols>
  <sheetData>
    <row r="1" spans="1:3" x14ac:dyDescent="0.25">
      <c r="A1" s="1" t="s">
        <v>30</v>
      </c>
      <c r="B1" s="1" t="s">
        <v>26</v>
      </c>
      <c r="C1" s="1" t="s">
        <v>27</v>
      </c>
    </row>
    <row r="2" spans="1:3" ht="125.1" customHeight="1" x14ac:dyDescent="0.25">
      <c r="A2" s="8">
        <v>1</v>
      </c>
      <c r="C2" s="7" t="s">
        <v>31</v>
      </c>
    </row>
    <row r="3" spans="1:3" ht="123" customHeight="1" x14ac:dyDescent="0.25">
      <c r="A3" s="8">
        <v>2</v>
      </c>
      <c r="C3" s="7" t="s">
        <v>32</v>
      </c>
    </row>
    <row r="4" spans="1:3" ht="108.75" customHeight="1" x14ac:dyDescent="0.25">
      <c r="A4" s="8">
        <v>3</v>
      </c>
      <c r="C4" s="7" t="s">
        <v>29</v>
      </c>
    </row>
    <row r="5" spans="1:3" ht="123.75" customHeight="1" x14ac:dyDescent="0.25">
      <c r="A5" s="8">
        <v>4</v>
      </c>
      <c r="C5" s="7" t="s">
        <v>28</v>
      </c>
    </row>
    <row r="6" spans="1:3" ht="93" customHeight="1" x14ac:dyDescent="0.25">
      <c r="A6" s="8">
        <v>5</v>
      </c>
      <c r="C6" s="9" t="s">
        <v>33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5EEDB-A216-449A-9FF3-667282CE1626}">
  <dimension ref="A1:M69"/>
  <sheetViews>
    <sheetView topLeftCell="A10" zoomScale="55" zoomScaleNormal="55" workbookViewId="0">
      <selection activeCell="J66" sqref="J66"/>
    </sheetView>
  </sheetViews>
  <sheetFormatPr defaultRowHeight="15" x14ac:dyDescent="0.25"/>
  <cols>
    <col min="1" max="1" width="12.28515625" style="4" bestFit="1" customWidth="1"/>
    <col min="3" max="3" width="11.42578125" bestFit="1" customWidth="1"/>
    <col min="4" max="4" width="16.42578125" bestFit="1" customWidth="1"/>
    <col min="5" max="5" width="17.85546875" bestFit="1" customWidth="1"/>
    <col min="6" max="6" width="16.140625" bestFit="1" customWidth="1"/>
    <col min="7" max="7" width="9.140625" customWidth="1"/>
    <col min="8" max="8" width="12.28515625" customWidth="1"/>
  </cols>
  <sheetData>
    <row r="1" spans="1:13" x14ac:dyDescent="0.25">
      <c r="A1" s="6" t="s">
        <v>15</v>
      </c>
      <c r="B1" s="1" t="s">
        <v>0</v>
      </c>
      <c r="C1" s="1" t="s">
        <v>2</v>
      </c>
      <c r="D1" s="1" t="s">
        <v>19</v>
      </c>
      <c r="E1" s="1" t="s">
        <v>16</v>
      </c>
      <c r="F1" s="1" t="s">
        <v>17</v>
      </c>
      <c r="H1" s="1" t="s">
        <v>18</v>
      </c>
    </row>
    <row r="2" spans="1:13" x14ac:dyDescent="0.25">
      <c r="A2" s="4">
        <v>45023</v>
      </c>
      <c r="B2" t="s">
        <v>1</v>
      </c>
      <c r="C2">
        <v>200</v>
      </c>
      <c r="D2">
        <v>5</v>
      </c>
      <c r="E2">
        <v>3728</v>
      </c>
      <c r="F2">
        <v>1034</v>
      </c>
      <c r="H2" s="3">
        <f t="shared" ref="H2:H11" si="0">(0.5*(F2*10^-6)*(E2*10^-3)^2)*10^6</f>
        <v>7185.2577280000005</v>
      </c>
      <c r="M2" t="s">
        <v>20</v>
      </c>
    </row>
    <row r="3" spans="1:13" x14ac:dyDescent="0.25">
      <c r="A3" s="4">
        <v>45023</v>
      </c>
      <c r="B3" t="s">
        <v>1</v>
      </c>
      <c r="C3">
        <v>200</v>
      </c>
      <c r="D3">
        <v>5</v>
      </c>
      <c r="E3">
        <v>3080</v>
      </c>
      <c r="F3">
        <v>1034</v>
      </c>
      <c r="H3" s="3">
        <f t="shared" si="0"/>
        <v>4904.4687999999996</v>
      </c>
      <c r="M3" t="s">
        <v>21</v>
      </c>
    </row>
    <row r="4" spans="1:13" x14ac:dyDescent="0.25">
      <c r="A4" s="4">
        <v>45023</v>
      </c>
      <c r="B4" t="s">
        <v>1</v>
      </c>
      <c r="C4">
        <v>200</v>
      </c>
      <c r="D4">
        <v>5</v>
      </c>
      <c r="E4">
        <v>3196</v>
      </c>
      <c r="F4">
        <v>1034</v>
      </c>
      <c r="H4" s="3">
        <f t="shared" si="0"/>
        <v>5280.8530720000008</v>
      </c>
      <c r="M4" t="s">
        <v>22</v>
      </c>
    </row>
    <row r="5" spans="1:13" x14ac:dyDescent="0.25">
      <c r="A5" s="4">
        <v>45027</v>
      </c>
      <c r="B5" t="s">
        <v>1</v>
      </c>
      <c r="C5">
        <v>200</v>
      </c>
      <c r="D5">
        <v>5</v>
      </c>
      <c r="E5" s="5">
        <v>776</v>
      </c>
      <c r="F5">
        <v>1034</v>
      </c>
      <c r="H5" s="3">
        <f t="shared" si="0"/>
        <v>311.32499200000001</v>
      </c>
    </row>
    <row r="6" spans="1:13" x14ac:dyDescent="0.25">
      <c r="A6" s="4">
        <v>45027</v>
      </c>
      <c r="B6" t="s">
        <v>1</v>
      </c>
      <c r="C6">
        <v>200</v>
      </c>
      <c r="D6">
        <v>5</v>
      </c>
      <c r="E6" s="5">
        <v>903</v>
      </c>
      <c r="F6">
        <v>1034</v>
      </c>
      <c r="H6" s="3">
        <f t="shared" si="0"/>
        <v>421.56645300000002</v>
      </c>
    </row>
    <row r="7" spans="1:13" x14ac:dyDescent="0.25">
      <c r="A7" s="4">
        <v>45027</v>
      </c>
      <c r="B7" t="s">
        <v>1</v>
      </c>
      <c r="C7">
        <v>200</v>
      </c>
      <c r="D7">
        <v>5</v>
      </c>
      <c r="E7" s="5">
        <v>2287</v>
      </c>
      <c r="F7">
        <v>1034</v>
      </c>
      <c r="H7" s="3">
        <f t="shared" si="0"/>
        <v>2704.1007729999997</v>
      </c>
      <c r="M7" t="s">
        <v>23</v>
      </c>
    </row>
    <row r="8" spans="1:13" x14ac:dyDescent="0.25">
      <c r="A8" s="4">
        <v>45028</v>
      </c>
      <c r="B8" t="s">
        <v>1</v>
      </c>
      <c r="C8">
        <v>200</v>
      </c>
      <c r="D8">
        <v>5</v>
      </c>
      <c r="E8">
        <v>2172</v>
      </c>
      <c r="F8">
        <v>1034</v>
      </c>
      <c r="H8" s="3">
        <f t="shared" si="0"/>
        <v>2438.9909280000002</v>
      </c>
    </row>
    <row r="9" spans="1:13" x14ac:dyDescent="0.25">
      <c r="A9" s="4">
        <v>45028</v>
      </c>
      <c r="B9" t="s">
        <v>1</v>
      </c>
      <c r="C9">
        <v>200</v>
      </c>
      <c r="D9">
        <v>5</v>
      </c>
      <c r="E9">
        <v>1136</v>
      </c>
      <c r="F9">
        <v>1034</v>
      </c>
      <c r="H9" s="3">
        <f t="shared" si="0"/>
        <v>667.1864320000002</v>
      </c>
    </row>
    <row r="10" spans="1:13" x14ac:dyDescent="0.25">
      <c r="A10" s="4">
        <v>45028</v>
      </c>
      <c r="B10" t="s">
        <v>1</v>
      </c>
      <c r="C10">
        <v>200</v>
      </c>
      <c r="D10">
        <v>5</v>
      </c>
      <c r="E10">
        <v>1115</v>
      </c>
      <c r="F10">
        <v>1034</v>
      </c>
      <c r="H10" s="3">
        <f t="shared" si="0"/>
        <v>642.74732500000005</v>
      </c>
    </row>
    <row r="11" spans="1:13" x14ac:dyDescent="0.25">
      <c r="A11" s="4">
        <v>45028</v>
      </c>
      <c r="B11" t="s">
        <v>1</v>
      </c>
      <c r="C11">
        <v>200</v>
      </c>
      <c r="D11">
        <v>5</v>
      </c>
      <c r="E11">
        <v>2298</v>
      </c>
      <c r="F11">
        <v>1034</v>
      </c>
      <c r="H11" s="3">
        <f t="shared" si="0"/>
        <v>2730.1756679999999</v>
      </c>
    </row>
    <row r="12" spans="1:13" x14ac:dyDescent="0.25">
      <c r="A12" s="4" t="s">
        <v>6</v>
      </c>
      <c r="B12" t="s">
        <v>1</v>
      </c>
      <c r="C12">
        <v>200</v>
      </c>
      <c r="D12">
        <v>10</v>
      </c>
      <c r="E12">
        <v>3364</v>
      </c>
      <c r="F12">
        <v>488</v>
      </c>
      <c r="H12" s="3">
        <f>(0.5*(F12*10^-6)*(E12*10^-3)^2)*10^6</f>
        <v>2761.2250239999998</v>
      </c>
    </row>
    <row r="13" spans="1:13" x14ac:dyDescent="0.25">
      <c r="A13" s="4" t="s">
        <v>6</v>
      </c>
      <c r="B13" t="s">
        <v>1</v>
      </c>
      <c r="C13">
        <v>200</v>
      </c>
      <c r="D13">
        <v>10</v>
      </c>
      <c r="E13">
        <v>1900</v>
      </c>
      <c r="F13">
        <v>488</v>
      </c>
      <c r="H13" s="3">
        <f t="shared" ref="H13:H21" si="1">(0.5*(F13*10^-6)*(E13*10^-3)^2)*10^6</f>
        <v>880.84</v>
      </c>
    </row>
    <row r="14" spans="1:13" x14ac:dyDescent="0.25">
      <c r="A14" s="4" t="s">
        <v>6</v>
      </c>
      <c r="B14" t="s">
        <v>1</v>
      </c>
      <c r="C14">
        <v>200</v>
      </c>
      <c r="D14">
        <v>10</v>
      </c>
      <c r="E14">
        <v>1905</v>
      </c>
      <c r="F14">
        <v>488</v>
      </c>
      <c r="H14" s="3">
        <f t="shared" si="1"/>
        <v>885.48209999999995</v>
      </c>
    </row>
    <row r="15" spans="1:13" x14ac:dyDescent="0.25">
      <c r="A15" s="4" t="s">
        <v>6</v>
      </c>
      <c r="B15" t="s">
        <v>1</v>
      </c>
      <c r="C15">
        <v>200</v>
      </c>
      <c r="D15">
        <v>10</v>
      </c>
      <c r="E15">
        <v>1805</v>
      </c>
      <c r="F15">
        <v>488</v>
      </c>
      <c r="H15" s="3">
        <f t="shared" si="1"/>
        <v>794.95809999999994</v>
      </c>
    </row>
    <row r="16" spans="1:13" x14ac:dyDescent="0.25">
      <c r="A16" s="4" t="s">
        <v>6</v>
      </c>
      <c r="B16" t="s">
        <v>1</v>
      </c>
      <c r="C16">
        <v>200</v>
      </c>
      <c r="D16">
        <v>10</v>
      </c>
      <c r="E16">
        <v>2598</v>
      </c>
      <c r="F16">
        <v>488</v>
      </c>
      <c r="H16" s="3">
        <f t="shared" si="1"/>
        <v>1646.903376</v>
      </c>
    </row>
    <row r="17" spans="1:8" x14ac:dyDescent="0.25">
      <c r="A17" s="4">
        <v>45021</v>
      </c>
      <c r="B17" t="s">
        <v>1</v>
      </c>
      <c r="C17">
        <v>200</v>
      </c>
      <c r="D17">
        <v>10</v>
      </c>
      <c r="E17">
        <v>3890</v>
      </c>
      <c r="F17">
        <v>488</v>
      </c>
      <c r="H17" s="3">
        <f t="shared" si="1"/>
        <v>3692.2324000000003</v>
      </c>
    </row>
    <row r="18" spans="1:8" x14ac:dyDescent="0.25">
      <c r="A18" s="4">
        <v>45021</v>
      </c>
      <c r="B18" t="s">
        <v>1</v>
      </c>
      <c r="C18">
        <v>200</v>
      </c>
      <c r="D18">
        <v>10</v>
      </c>
      <c r="E18">
        <v>4196</v>
      </c>
      <c r="F18">
        <v>488</v>
      </c>
      <c r="H18" s="3">
        <f t="shared" si="1"/>
        <v>4295.9655039999998</v>
      </c>
    </row>
    <row r="19" spans="1:8" x14ac:dyDescent="0.25">
      <c r="A19" s="4">
        <v>45021</v>
      </c>
      <c r="B19" t="s">
        <v>1</v>
      </c>
      <c r="C19">
        <v>200</v>
      </c>
      <c r="D19">
        <v>10</v>
      </c>
      <c r="E19">
        <v>4195</v>
      </c>
      <c r="F19">
        <v>488</v>
      </c>
      <c r="H19" s="3">
        <f t="shared" si="1"/>
        <v>4293.9181000000008</v>
      </c>
    </row>
    <row r="20" spans="1:8" x14ac:dyDescent="0.25">
      <c r="A20" s="4">
        <v>45021</v>
      </c>
      <c r="B20" t="s">
        <v>1</v>
      </c>
      <c r="C20">
        <v>200</v>
      </c>
      <c r="D20">
        <v>10</v>
      </c>
      <c r="E20">
        <v>4195</v>
      </c>
      <c r="F20">
        <v>488</v>
      </c>
      <c r="H20" s="3">
        <f t="shared" si="1"/>
        <v>4293.9181000000008</v>
      </c>
    </row>
    <row r="21" spans="1:8" x14ac:dyDescent="0.25">
      <c r="A21" s="4">
        <v>45021</v>
      </c>
      <c r="B21" t="s">
        <v>1</v>
      </c>
      <c r="C21">
        <v>200</v>
      </c>
      <c r="D21">
        <v>10</v>
      </c>
      <c r="E21">
        <v>4198</v>
      </c>
      <c r="F21">
        <v>488</v>
      </c>
      <c r="H21" s="3">
        <f t="shared" si="1"/>
        <v>4300.0617760000014</v>
      </c>
    </row>
    <row r="22" spans="1:8" x14ac:dyDescent="0.25">
      <c r="A22" s="4" t="s">
        <v>6</v>
      </c>
      <c r="B22" t="s">
        <v>1</v>
      </c>
      <c r="C22">
        <v>200</v>
      </c>
      <c r="D22">
        <v>15</v>
      </c>
      <c r="E22">
        <v>3107</v>
      </c>
      <c r="F22">
        <v>488</v>
      </c>
      <c r="H22" s="3">
        <f t="shared" ref="H22:H69" si="2">(0.5*(F22*10^-6)*(E22*10^-3)^2)*10^6</f>
        <v>2355.4415560000007</v>
      </c>
    </row>
    <row r="23" spans="1:8" x14ac:dyDescent="0.25">
      <c r="A23" s="4" t="s">
        <v>6</v>
      </c>
      <c r="B23" t="s">
        <v>1</v>
      </c>
      <c r="C23">
        <v>200</v>
      </c>
      <c r="D23">
        <v>15</v>
      </c>
      <c r="E23">
        <v>2552</v>
      </c>
      <c r="F23">
        <v>488</v>
      </c>
      <c r="H23" s="3">
        <f t="shared" si="2"/>
        <v>1589.099776</v>
      </c>
    </row>
    <row r="24" spans="1:8" x14ac:dyDescent="0.25">
      <c r="A24" s="4" t="s">
        <v>6</v>
      </c>
      <c r="B24" t="s">
        <v>1</v>
      </c>
      <c r="C24">
        <v>200</v>
      </c>
      <c r="D24">
        <v>15</v>
      </c>
      <c r="E24">
        <v>2328</v>
      </c>
      <c r="F24">
        <v>488</v>
      </c>
      <c r="H24" s="3">
        <f t="shared" si="2"/>
        <v>1322.3784959999998</v>
      </c>
    </row>
    <row r="25" spans="1:8" x14ac:dyDescent="0.25">
      <c r="A25" s="4">
        <v>45019</v>
      </c>
      <c r="B25" t="s">
        <v>1</v>
      </c>
      <c r="C25">
        <v>200</v>
      </c>
      <c r="D25">
        <v>15</v>
      </c>
      <c r="E25">
        <v>1879</v>
      </c>
      <c r="F25">
        <v>488</v>
      </c>
      <c r="H25" s="3">
        <f t="shared" si="2"/>
        <v>861.476404</v>
      </c>
    </row>
    <row r="26" spans="1:8" x14ac:dyDescent="0.25">
      <c r="A26" s="4">
        <v>45019</v>
      </c>
      <c r="B26" t="s">
        <v>1</v>
      </c>
      <c r="C26">
        <v>200</v>
      </c>
      <c r="D26">
        <v>15</v>
      </c>
      <c r="E26">
        <v>1950</v>
      </c>
      <c r="F26">
        <v>488</v>
      </c>
      <c r="H26" s="3">
        <f t="shared" si="2"/>
        <v>927.81</v>
      </c>
    </row>
    <row r="27" spans="1:8" x14ac:dyDescent="0.25">
      <c r="A27" s="4">
        <v>45019</v>
      </c>
      <c r="B27" t="s">
        <v>1</v>
      </c>
      <c r="C27">
        <v>200</v>
      </c>
      <c r="D27">
        <v>15</v>
      </c>
      <c r="E27">
        <v>1188</v>
      </c>
      <c r="F27">
        <v>488</v>
      </c>
      <c r="H27" s="3">
        <f t="shared" si="2"/>
        <v>344.36793599999999</v>
      </c>
    </row>
    <row r="28" spans="1:8" x14ac:dyDescent="0.25">
      <c r="A28" s="4">
        <v>45020</v>
      </c>
      <c r="B28" t="s">
        <v>1</v>
      </c>
      <c r="C28">
        <v>200</v>
      </c>
      <c r="D28">
        <v>15</v>
      </c>
      <c r="E28">
        <v>3060</v>
      </c>
      <c r="F28">
        <v>488</v>
      </c>
      <c r="H28" s="3">
        <f t="shared" si="2"/>
        <v>2284.7183999999997</v>
      </c>
    </row>
    <row r="29" spans="1:8" x14ac:dyDescent="0.25">
      <c r="A29" s="4">
        <v>45020</v>
      </c>
      <c r="B29" t="s">
        <v>1</v>
      </c>
      <c r="C29">
        <v>200</v>
      </c>
      <c r="D29">
        <v>15</v>
      </c>
      <c r="E29">
        <v>3295</v>
      </c>
      <c r="F29">
        <v>488</v>
      </c>
      <c r="H29" s="3">
        <f t="shared" si="2"/>
        <v>2649.1141000000002</v>
      </c>
    </row>
    <row r="30" spans="1:8" x14ac:dyDescent="0.25">
      <c r="A30" s="4">
        <v>45020</v>
      </c>
      <c r="B30" t="s">
        <v>1</v>
      </c>
      <c r="C30">
        <v>200</v>
      </c>
      <c r="D30">
        <v>15</v>
      </c>
      <c r="E30">
        <v>3405</v>
      </c>
      <c r="F30">
        <v>488</v>
      </c>
      <c r="H30" s="3">
        <f t="shared" si="2"/>
        <v>2828.9421000000007</v>
      </c>
    </row>
    <row r="31" spans="1:8" x14ac:dyDescent="0.25">
      <c r="A31" s="4">
        <v>45020</v>
      </c>
      <c r="B31" t="s">
        <v>1</v>
      </c>
      <c r="C31">
        <v>200</v>
      </c>
      <c r="D31">
        <v>15</v>
      </c>
      <c r="E31">
        <v>2482</v>
      </c>
      <c r="F31">
        <v>488</v>
      </c>
      <c r="H31" s="3">
        <f t="shared" si="2"/>
        <v>1503.1190560000002</v>
      </c>
    </row>
    <row r="32" spans="1:8" x14ac:dyDescent="0.25">
      <c r="A32" s="4">
        <v>45022</v>
      </c>
      <c r="B32" t="s">
        <v>1</v>
      </c>
      <c r="C32">
        <v>200</v>
      </c>
      <c r="D32">
        <v>20</v>
      </c>
      <c r="E32">
        <v>2927</v>
      </c>
      <c r="F32">
        <v>488</v>
      </c>
      <c r="H32" s="3">
        <f t="shared" si="2"/>
        <v>2090.4282760000001</v>
      </c>
    </row>
    <row r="33" spans="1:8" x14ac:dyDescent="0.25">
      <c r="A33" s="4">
        <v>45022</v>
      </c>
      <c r="B33" t="s">
        <v>1</v>
      </c>
      <c r="C33">
        <v>200</v>
      </c>
      <c r="D33">
        <v>20</v>
      </c>
      <c r="E33">
        <v>1460</v>
      </c>
      <c r="F33">
        <v>488</v>
      </c>
      <c r="H33" s="3">
        <f t="shared" si="2"/>
        <v>520.11039999999991</v>
      </c>
    </row>
    <row r="34" spans="1:8" x14ac:dyDescent="0.25">
      <c r="A34" s="4">
        <v>45022</v>
      </c>
      <c r="B34" t="s">
        <v>1</v>
      </c>
      <c r="C34">
        <v>200</v>
      </c>
      <c r="D34">
        <v>20</v>
      </c>
      <c r="E34">
        <v>884</v>
      </c>
      <c r="F34">
        <v>488</v>
      </c>
      <c r="H34" s="3">
        <f t="shared" si="2"/>
        <v>190.67526400000003</v>
      </c>
    </row>
    <row r="35" spans="1:8" x14ac:dyDescent="0.25">
      <c r="A35" s="4">
        <v>45022</v>
      </c>
      <c r="B35" t="s">
        <v>1</v>
      </c>
      <c r="C35">
        <v>200</v>
      </c>
      <c r="D35">
        <v>20</v>
      </c>
      <c r="E35">
        <v>1588</v>
      </c>
      <c r="F35">
        <v>488</v>
      </c>
      <c r="H35" s="3">
        <f t="shared" si="2"/>
        <v>615.30553600000007</v>
      </c>
    </row>
    <row r="36" spans="1:8" x14ac:dyDescent="0.25">
      <c r="A36" s="4">
        <v>45022</v>
      </c>
      <c r="B36" t="s">
        <v>1</v>
      </c>
      <c r="C36">
        <v>200</v>
      </c>
      <c r="D36">
        <v>20</v>
      </c>
      <c r="E36">
        <v>904</v>
      </c>
      <c r="F36">
        <v>488</v>
      </c>
      <c r="H36" s="3">
        <f t="shared" si="2"/>
        <v>199.40070399999999</v>
      </c>
    </row>
    <row r="37" spans="1:8" x14ac:dyDescent="0.25">
      <c r="A37" s="4">
        <v>45022</v>
      </c>
      <c r="B37" t="s">
        <v>1</v>
      </c>
      <c r="C37">
        <v>200</v>
      </c>
      <c r="D37">
        <v>20</v>
      </c>
      <c r="E37">
        <v>452</v>
      </c>
      <c r="F37">
        <v>488</v>
      </c>
      <c r="H37" s="3">
        <f t="shared" si="2"/>
        <v>49.850175999999998</v>
      </c>
    </row>
    <row r="38" spans="1:8" x14ac:dyDescent="0.25">
      <c r="A38" s="4">
        <v>45022</v>
      </c>
      <c r="B38" t="s">
        <v>1</v>
      </c>
      <c r="C38">
        <v>200</v>
      </c>
      <c r="D38">
        <v>20</v>
      </c>
      <c r="E38">
        <v>1181</v>
      </c>
      <c r="F38">
        <v>488</v>
      </c>
      <c r="H38" s="3">
        <f t="shared" si="2"/>
        <v>340.321684</v>
      </c>
    </row>
    <row r="39" spans="1:8" x14ac:dyDescent="0.25">
      <c r="A39" s="4">
        <v>45022</v>
      </c>
      <c r="B39" t="s">
        <v>1</v>
      </c>
      <c r="C39">
        <v>200</v>
      </c>
      <c r="D39">
        <v>20</v>
      </c>
      <c r="E39">
        <v>1520</v>
      </c>
      <c r="F39">
        <v>488</v>
      </c>
      <c r="H39" s="3">
        <f t="shared" si="2"/>
        <v>563.73760000000004</v>
      </c>
    </row>
    <row r="40" spans="1:8" x14ac:dyDescent="0.25">
      <c r="A40" s="4">
        <v>45023</v>
      </c>
      <c r="B40" t="s">
        <v>1</v>
      </c>
      <c r="C40">
        <v>200</v>
      </c>
      <c r="D40">
        <v>20</v>
      </c>
      <c r="E40">
        <v>2031</v>
      </c>
      <c r="F40">
        <v>488</v>
      </c>
      <c r="H40" s="3">
        <f t="shared" si="2"/>
        <v>1006.490484</v>
      </c>
    </row>
    <row r="41" spans="1:8" x14ac:dyDescent="0.25">
      <c r="A41" s="4">
        <v>45023</v>
      </c>
      <c r="B41" t="s">
        <v>1</v>
      </c>
      <c r="C41">
        <v>200</v>
      </c>
      <c r="D41">
        <v>20</v>
      </c>
      <c r="E41">
        <v>1591</v>
      </c>
      <c r="F41">
        <v>488</v>
      </c>
      <c r="H41" s="3">
        <f t="shared" si="2"/>
        <v>617.63256399999989</v>
      </c>
    </row>
    <row r="42" spans="1:8" x14ac:dyDescent="0.25">
      <c r="A42" s="4">
        <v>45028</v>
      </c>
      <c r="B42" t="s">
        <v>1</v>
      </c>
      <c r="C42">
        <v>200</v>
      </c>
      <c r="D42">
        <v>25</v>
      </c>
      <c r="E42">
        <v>121</v>
      </c>
      <c r="F42">
        <v>1034</v>
      </c>
      <c r="H42" s="3">
        <f t="shared" si="2"/>
        <v>7.5693969999999995</v>
      </c>
    </row>
    <row r="43" spans="1:8" x14ac:dyDescent="0.25">
      <c r="A43" s="4">
        <v>45028</v>
      </c>
      <c r="B43" t="s">
        <v>1</v>
      </c>
      <c r="C43">
        <v>200</v>
      </c>
      <c r="D43">
        <v>25</v>
      </c>
      <c r="E43">
        <v>521</v>
      </c>
      <c r="F43">
        <v>1034</v>
      </c>
      <c r="H43" s="3">
        <f t="shared" si="2"/>
        <v>140.33499700000002</v>
      </c>
    </row>
    <row r="44" spans="1:8" x14ac:dyDescent="0.25">
      <c r="A44" s="4">
        <v>45029</v>
      </c>
      <c r="B44" t="s">
        <v>1</v>
      </c>
      <c r="C44">
        <v>200</v>
      </c>
      <c r="D44">
        <v>25</v>
      </c>
      <c r="E44">
        <v>771</v>
      </c>
      <c r="F44">
        <v>488</v>
      </c>
      <c r="H44" s="3">
        <f t="shared" si="2"/>
        <v>145.04360399999999</v>
      </c>
    </row>
    <row r="45" spans="1:8" x14ac:dyDescent="0.25">
      <c r="A45" s="4">
        <v>45029</v>
      </c>
      <c r="B45" t="s">
        <v>1</v>
      </c>
      <c r="C45">
        <v>200</v>
      </c>
      <c r="D45">
        <v>25</v>
      </c>
      <c r="E45">
        <v>444</v>
      </c>
      <c r="F45">
        <v>488</v>
      </c>
      <c r="H45" s="3">
        <f t="shared" si="2"/>
        <v>48.101184000000003</v>
      </c>
    </row>
    <row r="46" spans="1:8" x14ac:dyDescent="0.25">
      <c r="A46" s="4">
        <v>45029</v>
      </c>
      <c r="B46" t="s">
        <v>1</v>
      </c>
      <c r="C46">
        <v>200</v>
      </c>
      <c r="D46">
        <v>25</v>
      </c>
      <c r="E46">
        <v>80</v>
      </c>
      <c r="F46">
        <v>488</v>
      </c>
      <c r="H46" s="3">
        <f t="shared" si="2"/>
        <v>1.5616000000000001</v>
      </c>
    </row>
    <row r="47" spans="1:8" x14ac:dyDescent="0.25">
      <c r="A47" s="4">
        <v>45029</v>
      </c>
      <c r="B47" t="s">
        <v>1</v>
      </c>
      <c r="C47">
        <v>200</v>
      </c>
      <c r="D47">
        <v>25</v>
      </c>
      <c r="E47">
        <v>584</v>
      </c>
      <c r="F47">
        <v>488</v>
      </c>
      <c r="H47" s="3">
        <f t="shared" si="2"/>
        <v>83.217663999999985</v>
      </c>
    </row>
    <row r="48" spans="1:8" x14ac:dyDescent="0.25">
      <c r="A48" s="4">
        <v>45029</v>
      </c>
      <c r="B48" t="s">
        <v>1</v>
      </c>
      <c r="C48">
        <v>200</v>
      </c>
      <c r="D48">
        <v>25</v>
      </c>
      <c r="E48">
        <v>83</v>
      </c>
      <c r="F48">
        <v>488</v>
      </c>
      <c r="H48" s="3">
        <f t="shared" si="2"/>
        <v>1.6809160000000003</v>
      </c>
    </row>
    <row r="49" spans="1:8" x14ac:dyDescent="0.25">
      <c r="A49" s="4">
        <v>45029</v>
      </c>
      <c r="B49" t="s">
        <v>1</v>
      </c>
      <c r="C49">
        <v>200</v>
      </c>
      <c r="D49">
        <v>25</v>
      </c>
      <c r="E49">
        <v>0</v>
      </c>
      <c r="F49">
        <v>488</v>
      </c>
      <c r="H49" s="3">
        <f t="shared" si="2"/>
        <v>0</v>
      </c>
    </row>
    <row r="50" spans="1:8" x14ac:dyDescent="0.25">
      <c r="A50" s="4">
        <v>45030</v>
      </c>
      <c r="B50" t="s">
        <v>1</v>
      </c>
      <c r="C50">
        <v>200</v>
      </c>
      <c r="D50">
        <v>25</v>
      </c>
      <c r="E50">
        <v>0</v>
      </c>
      <c r="F50">
        <v>488</v>
      </c>
      <c r="H50" s="3">
        <f t="shared" si="2"/>
        <v>0</v>
      </c>
    </row>
    <row r="51" spans="1:8" x14ac:dyDescent="0.25">
      <c r="A51" s="4">
        <v>45030</v>
      </c>
      <c r="B51" t="s">
        <v>1</v>
      </c>
      <c r="C51">
        <v>200</v>
      </c>
      <c r="D51">
        <v>25</v>
      </c>
      <c r="E51">
        <v>0</v>
      </c>
      <c r="F51">
        <v>488</v>
      </c>
      <c r="H51" s="3">
        <f t="shared" si="2"/>
        <v>0</v>
      </c>
    </row>
    <row r="52" spans="1:8" x14ac:dyDescent="0.25">
      <c r="A52" s="4">
        <v>45034</v>
      </c>
      <c r="B52" t="s">
        <v>1</v>
      </c>
      <c r="C52">
        <v>200</v>
      </c>
      <c r="D52">
        <v>30</v>
      </c>
      <c r="E52">
        <v>0</v>
      </c>
      <c r="F52">
        <v>488</v>
      </c>
      <c r="H52" s="3">
        <f t="shared" si="2"/>
        <v>0</v>
      </c>
    </row>
    <row r="53" spans="1:8" x14ac:dyDescent="0.25">
      <c r="A53" s="4">
        <v>45034</v>
      </c>
      <c r="B53" t="s">
        <v>1</v>
      </c>
      <c r="C53">
        <v>200</v>
      </c>
      <c r="D53">
        <v>30</v>
      </c>
      <c r="E53">
        <v>0</v>
      </c>
      <c r="F53">
        <v>488</v>
      </c>
      <c r="H53" s="3">
        <f t="shared" si="2"/>
        <v>0</v>
      </c>
    </row>
    <row r="54" spans="1:8" x14ac:dyDescent="0.25">
      <c r="A54" s="4">
        <v>45034</v>
      </c>
      <c r="B54" t="s">
        <v>1</v>
      </c>
      <c r="C54">
        <v>200</v>
      </c>
      <c r="D54">
        <v>30</v>
      </c>
      <c r="E54">
        <v>0</v>
      </c>
      <c r="F54">
        <v>488</v>
      </c>
      <c r="H54" s="3">
        <f t="shared" si="2"/>
        <v>0</v>
      </c>
    </row>
    <row r="55" spans="1:8" x14ac:dyDescent="0.25">
      <c r="A55" s="4">
        <v>45034</v>
      </c>
      <c r="B55" t="s">
        <v>1</v>
      </c>
      <c r="C55">
        <v>200</v>
      </c>
      <c r="D55">
        <v>35</v>
      </c>
      <c r="E55">
        <v>0</v>
      </c>
      <c r="F55">
        <v>488</v>
      </c>
      <c r="H55" s="3">
        <f t="shared" si="2"/>
        <v>0</v>
      </c>
    </row>
    <row r="56" spans="1:8" x14ac:dyDescent="0.25">
      <c r="A56" s="4">
        <v>45034</v>
      </c>
      <c r="B56" t="s">
        <v>1</v>
      </c>
      <c r="C56">
        <v>200</v>
      </c>
      <c r="D56">
        <v>35</v>
      </c>
      <c r="E56">
        <v>0</v>
      </c>
      <c r="F56">
        <v>488</v>
      </c>
      <c r="H56" s="3">
        <f t="shared" si="2"/>
        <v>0</v>
      </c>
    </row>
    <row r="57" spans="1:8" x14ac:dyDescent="0.25">
      <c r="A57" s="4">
        <v>45034</v>
      </c>
      <c r="B57" t="s">
        <v>1</v>
      </c>
      <c r="C57">
        <v>200</v>
      </c>
      <c r="D57">
        <v>35</v>
      </c>
      <c r="E57">
        <v>0</v>
      </c>
      <c r="F57">
        <v>488</v>
      </c>
      <c r="H57" s="3">
        <f t="shared" si="2"/>
        <v>0</v>
      </c>
    </row>
    <row r="58" spans="1:8" x14ac:dyDescent="0.25">
      <c r="A58" s="4">
        <v>45035</v>
      </c>
      <c r="B58" t="s">
        <v>1</v>
      </c>
      <c r="C58">
        <v>200</v>
      </c>
      <c r="D58">
        <v>40</v>
      </c>
      <c r="E58">
        <v>0</v>
      </c>
      <c r="F58">
        <v>488</v>
      </c>
      <c r="H58" s="3">
        <f t="shared" si="2"/>
        <v>0</v>
      </c>
    </row>
    <row r="59" spans="1:8" x14ac:dyDescent="0.25">
      <c r="A59" s="4">
        <v>45035</v>
      </c>
      <c r="B59" t="s">
        <v>1</v>
      </c>
      <c r="C59">
        <v>200</v>
      </c>
      <c r="D59">
        <v>40</v>
      </c>
      <c r="E59">
        <v>0</v>
      </c>
      <c r="F59">
        <v>488</v>
      </c>
      <c r="H59" s="3">
        <f t="shared" si="2"/>
        <v>0</v>
      </c>
    </row>
    <row r="60" spans="1:8" x14ac:dyDescent="0.25">
      <c r="A60" s="4">
        <v>45035</v>
      </c>
      <c r="B60" t="s">
        <v>1</v>
      </c>
      <c r="C60">
        <v>200</v>
      </c>
      <c r="D60">
        <v>40</v>
      </c>
      <c r="E60">
        <v>0</v>
      </c>
      <c r="F60">
        <v>488</v>
      </c>
      <c r="H60" s="3">
        <f t="shared" si="2"/>
        <v>0</v>
      </c>
    </row>
    <row r="61" spans="1:8" x14ac:dyDescent="0.25">
      <c r="A61" s="4">
        <v>45035</v>
      </c>
      <c r="B61" t="s">
        <v>1</v>
      </c>
      <c r="C61">
        <v>200</v>
      </c>
      <c r="D61">
        <v>45</v>
      </c>
      <c r="E61">
        <v>8</v>
      </c>
      <c r="F61">
        <v>488</v>
      </c>
      <c r="H61" s="3">
        <f t="shared" si="2"/>
        <v>1.5616E-2</v>
      </c>
    </row>
    <row r="62" spans="1:8" x14ac:dyDescent="0.25">
      <c r="A62" s="4">
        <v>45035</v>
      </c>
      <c r="B62" t="s">
        <v>1</v>
      </c>
      <c r="C62">
        <v>200</v>
      </c>
      <c r="D62">
        <v>45</v>
      </c>
      <c r="E62">
        <v>18</v>
      </c>
      <c r="F62">
        <v>488</v>
      </c>
      <c r="H62" s="3">
        <f t="shared" si="2"/>
        <v>7.9056000000000015E-2</v>
      </c>
    </row>
    <row r="63" spans="1:8" x14ac:dyDescent="0.25">
      <c r="A63" s="4">
        <v>45035</v>
      </c>
      <c r="B63" t="s">
        <v>1</v>
      </c>
      <c r="C63">
        <v>200</v>
      </c>
      <c r="D63">
        <v>45</v>
      </c>
      <c r="E63">
        <v>12</v>
      </c>
      <c r="F63">
        <v>488</v>
      </c>
      <c r="H63" s="3">
        <f t="shared" si="2"/>
        <v>3.5136000000000001E-2</v>
      </c>
    </row>
    <row r="64" spans="1:8" x14ac:dyDescent="0.25">
      <c r="A64" s="4">
        <v>45036</v>
      </c>
      <c r="B64" t="s">
        <v>1</v>
      </c>
      <c r="C64">
        <v>200</v>
      </c>
      <c r="D64">
        <v>50</v>
      </c>
      <c r="E64">
        <v>508</v>
      </c>
      <c r="F64">
        <v>488</v>
      </c>
      <c r="H64" s="3">
        <f t="shared" si="2"/>
        <v>62.967616</v>
      </c>
    </row>
    <row r="65" spans="1:8" x14ac:dyDescent="0.25">
      <c r="A65" s="4">
        <v>45036</v>
      </c>
      <c r="B65" t="s">
        <v>1</v>
      </c>
      <c r="C65">
        <v>200</v>
      </c>
      <c r="D65">
        <v>50</v>
      </c>
      <c r="E65">
        <v>15</v>
      </c>
      <c r="F65">
        <v>488</v>
      </c>
      <c r="H65" s="3">
        <f t="shared" si="2"/>
        <v>5.4899999999999997E-2</v>
      </c>
    </row>
    <row r="66" spans="1:8" x14ac:dyDescent="0.25">
      <c r="A66" s="4">
        <v>45036</v>
      </c>
      <c r="B66" t="s">
        <v>1</v>
      </c>
      <c r="C66">
        <v>200</v>
      </c>
      <c r="D66">
        <v>50</v>
      </c>
      <c r="E66">
        <v>1</v>
      </c>
      <c r="F66">
        <v>488</v>
      </c>
      <c r="H66" s="3">
        <f t="shared" si="2"/>
        <v>2.4399999999999999E-4</v>
      </c>
    </row>
    <row r="67" spans="1:8" x14ac:dyDescent="0.25">
      <c r="A67" s="4">
        <v>45036</v>
      </c>
      <c r="B67" t="s">
        <v>1</v>
      </c>
      <c r="C67">
        <v>200</v>
      </c>
      <c r="D67">
        <v>55</v>
      </c>
      <c r="E67">
        <v>374</v>
      </c>
      <c r="F67">
        <v>488</v>
      </c>
      <c r="H67" s="3">
        <f t="shared" si="2"/>
        <v>34.129744000000002</v>
      </c>
    </row>
    <row r="68" spans="1:8" x14ac:dyDescent="0.25">
      <c r="A68" s="4">
        <v>45036</v>
      </c>
      <c r="B68" t="s">
        <v>1</v>
      </c>
      <c r="C68">
        <v>200</v>
      </c>
      <c r="D68">
        <v>55</v>
      </c>
      <c r="E68">
        <v>235</v>
      </c>
      <c r="F68">
        <v>488</v>
      </c>
      <c r="H68" s="3">
        <f t="shared" si="2"/>
        <v>13.474900000000002</v>
      </c>
    </row>
    <row r="69" spans="1:8" x14ac:dyDescent="0.25">
      <c r="A69" s="4">
        <v>45036</v>
      </c>
      <c r="B69" t="s">
        <v>1</v>
      </c>
      <c r="C69">
        <v>200</v>
      </c>
      <c r="D69">
        <v>55</v>
      </c>
      <c r="E69">
        <v>1</v>
      </c>
      <c r="F69">
        <v>488</v>
      </c>
      <c r="H69" s="3">
        <f t="shared" si="2"/>
        <v>2.4399999999999999E-4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FDF47-B6B1-4AFB-8E4A-4BC3A3931F5A}">
  <dimension ref="A1:M69"/>
  <sheetViews>
    <sheetView zoomScale="74" workbookViewId="0">
      <selection activeCell="H39" sqref="H39"/>
    </sheetView>
  </sheetViews>
  <sheetFormatPr defaultRowHeight="15" x14ac:dyDescent="0.25"/>
  <cols>
    <col min="1" max="1" width="11.5703125" style="4" customWidth="1"/>
    <col min="3" max="3" width="11.42578125" bestFit="1" customWidth="1"/>
    <col min="4" max="4" width="16.42578125" bestFit="1" customWidth="1"/>
    <col min="5" max="5" width="17.85546875" bestFit="1" customWidth="1"/>
    <col min="6" max="6" width="16.140625" bestFit="1" customWidth="1"/>
    <col min="7" max="7" width="9.140625" customWidth="1"/>
    <col min="8" max="8" width="12.28515625" customWidth="1"/>
  </cols>
  <sheetData>
    <row r="1" spans="1:13" x14ac:dyDescent="0.25">
      <c r="A1" s="6" t="s">
        <v>15</v>
      </c>
      <c r="B1" s="1" t="s">
        <v>0</v>
      </c>
      <c r="C1" s="1" t="s">
        <v>2</v>
      </c>
      <c r="D1" s="1" t="s">
        <v>19</v>
      </c>
      <c r="E1" s="1" t="s">
        <v>16</v>
      </c>
      <c r="F1" s="1" t="s">
        <v>17</v>
      </c>
      <c r="H1" s="1" t="s">
        <v>18</v>
      </c>
    </row>
    <row r="2" spans="1:13" x14ac:dyDescent="0.25">
      <c r="B2" t="s">
        <v>1</v>
      </c>
      <c r="C2">
        <v>200</v>
      </c>
      <c r="D2">
        <v>10</v>
      </c>
      <c r="E2">
        <v>603</v>
      </c>
      <c r="F2">
        <v>488</v>
      </c>
      <c r="H2" s="3">
        <f t="shared" ref="H2:H17" si="0">(0.5*(F2*10^-6)*(E2*10^-3)^2)*10^6</f>
        <v>88.720596</v>
      </c>
      <c r="M2" t="s">
        <v>20</v>
      </c>
    </row>
    <row r="3" spans="1:13" x14ac:dyDescent="0.25">
      <c r="B3" t="s">
        <v>1</v>
      </c>
      <c r="C3">
        <v>200</v>
      </c>
      <c r="D3">
        <v>10</v>
      </c>
      <c r="E3">
        <v>815</v>
      </c>
      <c r="F3">
        <v>488</v>
      </c>
      <c r="H3" s="3">
        <f t="shared" si="0"/>
        <v>162.07089999999999</v>
      </c>
      <c r="M3" t="s">
        <v>21</v>
      </c>
    </row>
    <row r="4" spans="1:13" x14ac:dyDescent="0.25">
      <c r="B4" t="s">
        <v>1</v>
      </c>
      <c r="C4">
        <v>200</v>
      </c>
      <c r="D4">
        <v>10</v>
      </c>
      <c r="E4">
        <v>2095</v>
      </c>
      <c r="F4">
        <v>488</v>
      </c>
      <c r="H4" s="3">
        <f t="shared" si="0"/>
        <v>1070.9221000000002</v>
      </c>
      <c r="M4" t="s">
        <v>22</v>
      </c>
    </row>
    <row r="5" spans="1:13" x14ac:dyDescent="0.25">
      <c r="A5" s="4">
        <v>45065</v>
      </c>
      <c r="B5" t="s">
        <v>1</v>
      </c>
      <c r="C5">
        <v>200</v>
      </c>
      <c r="D5">
        <v>10</v>
      </c>
      <c r="E5">
        <v>270</v>
      </c>
      <c r="F5">
        <v>488</v>
      </c>
      <c r="H5" s="3">
        <f t="shared" si="0"/>
        <v>17.787600000000001</v>
      </c>
    </row>
    <row r="6" spans="1:13" x14ac:dyDescent="0.25">
      <c r="A6" s="4">
        <v>45065</v>
      </c>
      <c r="B6" t="s">
        <v>1</v>
      </c>
      <c r="C6">
        <v>200</v>
      </c>
      <c r="D6">
        <v>10</v>
      </c>
      <c r="E6">
        <v>693</v>
      </c>
      <c r="F6">
        <v>488</v>
      </c>
      <c r="H6" s="3">
        <f t="shared" si="0"/>
        <v>117.18075600000002</v>
      </c>
      <c r="M6" t="s">
        <v>24</v>
      </c>
    </row>
    <row r="7" spans="1:13" x14ac:dyDescent="0.25">
      <c r="A7" s="4">
        <v>45065</v>
      </c>
      <c r="B7" t="s">
        <v>1</v>
      </c>
      <c r="C7">
        <v>200</v>
      </c>
      <c r="D7">
        <v>10</v>
      </c>
      <c r="E7">
        <v>360</v>
      </c>
      <c r="F7">
        <v>488</v>
      </c>
      <c r="H7" s="3">
        <f t="shared" si="0"/>
        <v>31.622399999999999</v>
      </c>
    </row>
    <row r="8" spans="1:13" x14ac:dyDescent="0.25">
      <c r="A8" s="4">
        <v>45065</v>
      </c>
      <c r="B8" t="s">
        <v>1</v>
      </c>
      <c r="C8">
        <v>200</v>
      </c>
      <c r="D8">
        <v>10</v>
      </c>
      <c r="E8">
        <v>1901</v>
      </c>
      <c r="F8">
        <v>488</v>
      </c>
      <c r="H8" s="3">
        <f t="shared" si="0"/>
        <v>881.76744399999995</v>
      </c>
    </row>
    <row r="9" spans="1:13" x14ac:dyDescent="0.25">
      <c r="A9" s="4">
        <v>45065</v>
      </c>
      <c r="B9" t="s">
        <v>1</v>
      </c>
      <c r="C9">
        <v>200</v>
      </c>
      <c r="D9">
        <v>10</v>
      </c>
      <c r="E9">
        <v>474</v>
      </c>
      <c r="F9">
        <v>488</v>
      </c>
      <c r="H9" s="3">
        <f t="shared" si="0"/>
        <v>54.820944000000011</v>
      </c>
      <c r="M9" t="s">
        <v>23</v>
      </c>
    </row>
    <row r="10" spans="1:13" x14ac:dyDescent="0.25">
      <c r="A10" s="4">
        <v>45065</v>
      </c>
      <c r="B10" t="s">
        <v>1</v>
      </c>
      <c r="C10">
        <v>200</v>
      </c>
      <c r="D10">
        <v>10</v>
      </c>
      <c r="E10">
        <v>629</v>
      </c>
      <c r="F10">
        <v>488</v>
      </c>
      <c r="H10" s="3">
        <f t="shared" si="0"/>
        <v>96.53640399999999</v>
      </c>
    </row>
    <row r="11" spans="1:13" x14ac:dyDescent="0.25">
      <c r="A11" s="4">
        <v>45069</v>
      </c>
      <c r="B11" t="s">
        <v>1</v>
      </c>
      <c r="C11">
        <v>200</v>
      </c>
      <c r="D11">
        <v>10</v>
      </c>
      <c r="E11">
        <v>478</v>
      </c>
      <c r="F11">
        <v>488</v>
      </c>
      <c r="H11" s="3">
        <f t="shared" si="0"/>
        <v>55.750096000000006</v>
      </c>
    </row>
    <row r="12" spans="1:13" x14ac:dyDescent="0.25">
      <c r="A12" s="4">
        <v>45069</v>
      </c>
      <c r="B12" t="s">
        <v>1</v>
      </c>
      <c r="C12">
        <v>200</v>
      </c>
      <c r="D12">
        <v>15</v>
      </c>
      <c r="E12">
        <v>118</v>
      </c>
      <c r="F12">
        <v>488</v>
      </c>
      <c r="H12" s="3">
        <f t="shared" si="0"/>
        <v>3.3974560000000005</v>
      </c>
    </row>
    <row r="13" spans="1:13" x14ac:dyDescent="0.25">
      <c r="A13" s="4">
        <v>45069</v>
      </c>
      <c r="B13" t="s">
        <v>1</v>
      </c>
      <c r="C13">
        <v>200</v>
      </c>
      <c r="D13">
        <v>15</v>
      </c>
      <c r="E13">
        <v>174</v>
      </c>
      <c r="F13">
        <v>488</v>
      </c>
      <c r="H13" s="3">
        <f t="shared" si="0"/>
        <v>7.3873440000000006</v>
      </c>
    </row>
    <row r="14" spans="1:13" x14ac:dyDescent="0.25">
      <c r="A14" s="4">
        <v>45069</v>
      </c>
      <c r="B14" t="s">
        <v>1</v>
      </c>
      <c r="C14">
        <v>200</v>
      </c>
      <c r="D14">
        <v>15</v>
      </c>
      <c r="E14">
        <v>118</v>
      </c>
      <c r="F14">
        <v>488</v>
      </c>
      <c r="H14" s="3">
        <f t="shared" si="0"/>
        <v>3.3974560000000005</v>
      </c>
    </row>
    <row r="15" spans="1:13" x14ac:dyDescent="0.25">
      <c r="A15" s="4">
        <v>45069</v>
      </c>
      <c r="B15" t="s">
        <v>1</v>
      </c>
      <c r="C15">
        <v>200</v>
      </c>
      <c r="D15">
        <v>15</v>
      </c>
      <c r="E15">
        <v>289</v>
      </c>
      <c r="F15">
        <v>488</v>
      </c>
      <c r="H15" s="3">
        <f t="shared" si="0"/>
        <v>20.379123999999994</v>
      </c>
    </row>
    <row r="16" spans="1:13" x14ac:dyDescent="0.25">
      <c r="A16" s="4">
        <v>45069</v>
      </c>
      <c r="B16" t="s">
        <v>1</v>
      </c>
      <c r="C16">
        <v>200</v>
      </c>
      <c r="D16">
        <v>15</v>
      </c>
      <c r="E16">
        <v>206</v>
      </c>
      <c r="F16">
        <v>488</v>
      </c>
      <c r="H16" s="3">
        <f t="shared" si="0"/>
        <v>10.354384000000001</v>
      </c>
    </row>
    <row r="17" spans="1:8" x14ac:dyDescent="0.25">
      <c r="A17" s="4">
        <v>45069</v>
      </c>
      <c r="B17" t="s">
        <v>1</v>
      </c>
      <c r="C17">
        <v>200</v>
      </c>
      <c r="D17">
        <v>15</v>
      </c>
      <c r="E17">
        <v>289</v>
      </c>
      <c r="F17">
        <v>488</v>
      </c>
      <c r="H17" s="3">
        <f t="shared" si="0"/>
        <v>20.379123999999994</v>
      </c>
    </row>
    <row r="18" spans="1:8" x14ac:dyDescent="0.25">
      <c r="B18" t="s">
        <v>1</v>
      </c>
      <c r="C18">
        <v>200</v>
      </c>
      <c r="D18">
        <v>15</v>
      </c>
      <c r="F18">
        <v>488</v>
      </c>
    </row>
    <row r="19" spans="1:8" x14ac:dyDescent="0.25">
      <c r="B19" t="s">
        <v>1</v>
      </c>
      <c r="C19">
        <v>200</v>
      </c>
      <c r="D19">
        <v>15</v>
      </c>
      <c r="F19">
        <v>488</v>
      </c>
    </row>
    <row r="20" spans="1:8" x14ac:dyDescent="0.25">
      <c r="B20" t="s">
        <v>1</v>
      </c>
      <c r="C20">
        <v>200</v>
      </c>
      <c r="D20">
        <v>15</v>
      </c>
      <c r="F20">
        <v>488</v>
      </c>
    </row>
    <row r="21" spans="1:8" x14ac:dyDescent="0.25">
      <c r="B21" t="s">
        <v>1</v>
      </c>
      <c r="C21">
        <v>200</v>
      </c>
      <c r="D21">
        <v>15</v>
      </c>
      <c r="F21">
        <v>488</v>
      </c>
    </row>
    <row r="22" spans="1:8" x14ac:dyDescent="0.25">
      <c r="H22" s="3"/>
    </row>
    <row r="23" spans="1:8" x14ac:dyDescent="0.25">
      <c r="H23" s="3"/>
    </row>
    <row r="24" spans="1:8" x14ac:dyDescent="0.25">
      <c r="H24" s="3"/>
    </row>
    <row r="25" spans="1:8" x14ac:dyDescent="0.25">
      <c r="H25" s="3"/>
    </row>
    <row r="26" spans="1:8" x14ac:dyDescent="0.25">
      <c r="H26" s="3"/>
    </row>
    <row r="27" spans="1:8" x14ac:dyDescent="0.25">
      <c r="H27" s="3"/>
    </row>
    <row r="28" spans="1:8" x14ac:dyDescent="0.25">
      <c r="H28" s="3"/>
    </row>
    <row r="29" spans="1:8" x14ac:dyDescent="0.25">
      <c r="H29" s="3"/>
    </row>
    <row r="30" spans="1:8" x14ac:dyDescent="0.25">
      <c r="H30" s="3"/>
    </row>
    <row r="31" spans="1:8" x14ac:dyDescent="0.25">
      <c r="H31" s="3"/>
    </row>
    <row r="32" spans="1:8" x14ac:dyDescent="0.25">
      <c r="H32" s="3"/>
    </row>
    <row r="33" spans="8:8" x14ac:dyDescent="0.25">
      <c r="H33" s="3"/>
    </row>
    <row r="34" spans="8:8" x14ac:dyDescent="0.25">
      <c r="H34" s="3"/>
    </row>
    <row r="35" spans="8:8" x14ac:dyDescent="0.25">
      <c r="H35" s="3"/>
    </row>
    <row r="36" spans="8:8" x14ac:dyDescent="0.25">
      <c r="H36" s="3"/>
    </row>
    <row r="37" spans="8:8" x14ac:dyDescent="0.25">
      <c r="H37" s="3"/>
    </row>
    <row r="38" spans="8:8" x14ac:dyDescent="0.25">
      <c r="H38" s="3"/>
    </row>
    <row r="39" spans="8:8" x14ac:dyDescent="0.25">
      <c r="H39" s="3"/>
    </row>
    <row r="40" spans="8:8" x14ac:dyDescent="0.25">
      <c r="H40" s="3"/>
    </row>
    <row r="41" spans="8:8" x14ac:dyDescent="0.25">
      <c r="H41" s="3"/>
    </row>
    <row r="42" spans="8:8" x14ac:dyDescent="0.25">
      <c r="H42" s="3"/>
    </row>
    <row r="43" spans="8:8" x14ac:dyDescent="0.25">
      <c r="H43" s="3"/>
    </row>
    <row r="44" spans="8:8" x14ac:dyDescent="0.25">
      <c r="H44" s="3"/>
    </row>
    <row r="45" spans="8:8" x14ac:dyDescent="0.25">
      <c r="H45" s="3"/>
    </row>
    <row r="46" spans="8:8" x14ac:dyDescent="0.25">
      <c r="H46" s="3"/>
    </row>
    <row r="47" spans="8:8" x14ac:dyDescent="0.25">
      <c r="H47" s="3"/>
    </row>
    <row r="48" spans="8:8" x14ac:dyDescent="0.25">
      <c r="H48" s="3"/>
    </row>
    <row r="49" spans="8:8" x14ac:dyDescent="0.25">
      <c r="H49" s="3"/>
    </row>
    <row r="50" spans="8:8" x14ac:dyDescent="0.25">
      <c r="H50" s="3"/>
    </row>
    <row r="51" spans="8:8" x14ac:dyDescent="0.25">
      <c r="H51" s="3"/>
    </row>
    <row r="52" spans="8:8" x14ac:dyDescent="0.25">
      <c r="H52" s="3"/>
    </row>
    <row r="53" spans="8:8" x14ac:dyDescent="0.25">
      <c r="H53" s="3"/>
    </row>
    <row r="54" spans="8:8" x14ac:dyDescent="0.25">
      <c r="H54" s="3"/>
    </row>
    <row r="55" spans="8:8" x14ac:dyDescent="0.25">
      <c r="H55" s="3"/>
    </row>
    <row r="56" spans="8:8" x14ac:dyDescent="0.25">
      <c r="H56" s="3"/>
    </row>
    <row r="57" spans="8:8" x14ac:dyDescent="0.25">
      <c r="H57" s="3"/>
    </row>
    <row r="58" spans="8:8" x14ac:dyDescent="0.25">
      <c r="H58" s="3"/>
    </row>
    <row r="59" spans="8:8" x14ac:dyDescent="0.25">
      <c r="H59" s="3"/>
    </row>
    <row r="60" spans="8:8" x14ac:dyDescent="0.25">
      <c r="H60" s="3"/>
    </row>
    <row r="61" spans="8:8" x14ac:dyDescent="0.25">
      <c r="H61" s="3"/>
    </row>
    <row r="62" spans="8:8" x14ac:dyDescent="0.25">
      <c r="H62" s="3"/>
    </row>
    <row r="63" spans="8:8" x14ac:dyDescent="0.25">
      <c r="H63" s="3"/>
    </row>
    <row r="64" spans="8:8" x14ac:dyDescent="0.25">
      <c r="H64" s="3"/>
    </row>
    <row r="65" spans="8:8" x14ac:dyDescent="0.25">
      <c r="H65" s="3"/>
    </row>
    <row r="66" spans="8:8" x14ac:dyDescent="0.25">
      <c r="H66" s="3"/>
    </row>
    <row r="67" spans="8:8" x14ac:dyDescent="0.25">
      <c r="H67" s="3"/>
    </row>
    <row r="68" spans="8:8" x14ac:dyDescent="0.25">
      <c r="H68" s="3"/>
    </row>
    <row r="69" spans="8:8" x14ac:dyDescent="0.25">
      <c r="H69" s="3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39B92-72FE-4FAE-AEF0-F7B24396F116}">
  <dimension ref="A1:M69"/>
  <sheetViews>
    <sheetView zoomScale="74" workbookViewId="0">
      <selection activeCell="S23" sqref="S23"/>
    </sheetView>
  </sheetViews>
  <sheetFormatPr defaultRowHeight="15" x14ac:dyDescent="0.25"/>
  <cols>
    <col min="1" max="1" width="11.5703125" style="4" customWidth="1"/>
    <col min="3" max="3" width="11.42578125" bestFit="1" customWidth="1"/>
    <col min="4" max="4" width="16.42578125" bestFit="1" customWidth="1"/>
    <col min="5" max="5" width="17.85546875" bestFit="1" customWidth="1"/>
    <col min="6" max="6" width="16.140625" bestFit="1" customWidth="1"/>
    <col min="7" max="7" width="9.140625" customWidth="1"/>
    <col min="8" max="8" width="12.28515625" customWidth="1"/>
  </cols>
  <sheetData>
    <row r="1" spans="1:13" x14ac:dyDescent="0.25">
      <c r="A1" s="6" t="s">
        <v>15</v>
      </c>
      <c r="B1" s="1" t="s">
        <v>0</v>
      </c>
      <c r="C1" s="1" t="s">
        <v>2</v>
      </c>
      <c r="D1" s="1" t="s">
        <v>19</v>
      </c>
      <c r="E1" s="1" t="s">
        <v>16</v>
      </c>
      <c r="F1" s="1" t="s">
        <v>17</v>
      </c>
      <c r="H1" s="1" t="s">
        <v>18</v>
      </c>
    </row>
    <row r="2" spans="1:13" x14ac:dyDescent="0.25">
      <c r="A2" s="4">
        <v>45041</v>
      </c>
      <c r="B2" t="s">
        <v>1</v>
      </c>
      <c r="C2">
        <v>100</v>
      </c>
      <c r="D2">
        <v>5</v>
      </c>
      <c r="E2">
        <v>380</v>
      </c>
      <c r="F2">
        <v>488</v>
      </c>
      <c r="H2" s="3">
        <f t="shared" ref="H2:H11" si="0">(0.5*(F2*10^-6)*(E2*10^-3)^2)*10^6</f>
        <v>35.233600000000003</v>
      </c>
      <c r="M2" t="s">
        <v>20</v>
      </c>
    </row>
    <row r="3" spans="1:13" x14ac:dyDescent="0.25">
      <c r="A3" s="4">
        <v>45041</v>
      </c>
      <c r="B3" t="s">
        <v>1</v>
      </c>
      <c r="C3">
        <v>100</v>
      </c>
      <c r="D3">
        <v>5</v>
      </c>
      <c r="E3">
        <v>1047</v>
      </c>
      <c r="F3">
        <v>488</v>
      </c>
      <c r="H3" s="3">
        <f t="shared" si="0"/>
        <v>267.47499599999992</v>
      </c>
      <c r="M3" t="s">
        <v>21</v>
      </c>
    </row>
    <row r="4" spans="1:13" x14ac:dyDescent="0.25">
      <c r="A4" s="4">
        <v>45041</v>
      </c>
      <c r="B4" t="s">
        <v>1</v>
      </c>
      <c r="C4">
        <v>100</v>
      </c>
      <c r="D4">
        <v>5</v>
      </c>
      <c r="E4">
        <v>1230</v>
      </c>
      <c r="F4">
        <v>488</v>
      </c>
      <c r="H4" s="3">
        <f t="shared" si="0"/>
        <v>369.14760000000001</v>
      </c>
      <c r="M4" t="s">
        <v>22</v>
      </c>
    </row>
    <row r="5" spans="1:13" x14ac:dyDescent="0.25">
      <c r="A5" s="4">
        <v>45041</v>
      </c>
      <c r="B5" t="s">
        <v>1</v>
      </c>
      <c r="C5">
        <v>100</v>
      </c>
      <c r="D5">
        <v>5</v>
      </c>
      <c r="E5" s="5">
        <v>1069</v>
      </c>
      <c r="F5">
        <v>488</v>
      </c>
      <c r="H5" s="3">
        <f t="shared" si="0"/>
        <v>278.83368399999995</v>
      </c>
    </row>
    <row r="6" spans="1:13" x14ac:dyDescent="0.25">
      <c r="A6" s="4">
        <v>45042</v>
      </c>
      <c r="B6" t="s">
        <v>1</v>
      </c>
      <c r="C6">
        <v>100</v>
      </c>
      <c r="D6">
        <v>5</v>
      </c>
      <c r="E6" s="5">
        <v>272</v>
      </c>
      <c r="F6">
        <v>488</v>
      </c>
      <c r="H6" s="3">
        <f t="shared" si="0"/>
        <v>18.052096000000002</v>
      </c>
    </row>
    <row r="7" spans="1:13" x14ac:dyDescent="0.25">
      <c r="A7" s="4">
        <v>45042</v>
      </c>
      <c r="B7" t="s">
        <v>1</v>
      </c>
      <c r="C7">
        <v>100</v>
      </c>
      <c r="D7">
        <v>5</v>
      </c>
      <c r="E7" s="5">
        <v>1200</v>
      </c>
      <c r="F7">
        <v>488</v>
      </c>
      <c r="H7" s="3">
        <f t="shared" si="0"/>
        <v>351.36</v>
      </c>
      <c r="M7" t="s">
        <v>23</v>
      </c>
    </row>
    <row r="8" spans="1:13" x14ac:dyDescent="0.25">
      <c r="A8" s="4">
        <v>45042</v>
      </c>
      <c r="B8" t="s">
        <v>1</v>
      </c>
      <c r="C8">
        <v>100</v>
      </c>
      <c r="D8">
        <v>5</v>
      </c>
      <c r="E8" s="5">
        <v>897</v>
      </c>
      <c r="F8">
        <v>488</v>
      </c>
      <c r="H8" s="3">
        <f t="shared" si="0"/>
        <v>196.32459600000001</v>
      </c>
    </row>
    <row r="9" spans="1:13" x14ac:dyDescent="0.25">
      <c r="A9" s="4">
        <v>45042</v>
      </c>
      <c r="B9" t="s">
        <v>1</v>
      </c>
      <c r="C9">
        <v>100</v>
      </c>
      <c r="D9">
        <v>5</v>
      </c>
      <c r="E9" s="5">
        <v>695</v>
      </c>
      <c r="F9">
        <v>488</v>
      </c>
      <c r="H9" s="3">
        <f t="shared" si="0"/>
        <v>117.85810000000002</v>
      </c>
    </row>
    <row r="10" spans="1:13" x14ac:dyDescent="0.25">
      <c r="A10" s="4">
        <v>45042</v>
      </c>
      <c r="B10" t="s">
        <v>1</v>
      </c>
      <c r="C10">
        <v>100</v>
      </c>
      <c r="D10">
        <v>5</v>
      </c>
      <c r="E10" s="5">
        <v>865</v>
      </c>
      <c r="F10">
        <v>488</v>
      </c>
      <c r="H10" s="3">
        <f t="shared" si="0"/>
        <v>182.5669</v>
      </c>
    </row>
    <row r="11" spans="1:13" x14ac:dyDescent="0.25">
      <c r="A11" s="4">
        <v>45042</v>
      </c>
      <c r="B11" t="s">
        <v>1</v>
      </c>
      <c r="C11">
        <v>100</v>
      </c>
      <c r="D11">
        <v>5</v>
      </c>
      <c r="E11">
        <v>804</v>
      </c>
      <c r="F11">
        <v>488</v>
      </c>
      <c r="H11" s="3">
        <f t="shared" si="0"/>
        <v>157.72550400000003</v>
      </c>
    </row>
    <row r="12" spans="1:13" x14ac:dyDescent="0.25">
      <c r="A12" s="4">
        <v>45037</v>
      </c>
      <c r="B12" t="s">
        <v>1</v>
      </c>
      <c r="C12">
        <v>100</v>
      </c>
      <c r="D12">
        <v>10</v>
      </c>
      <c r="E12">
        <v>745</v>
      </c>
      <c r="F12">
        <v>488</v>
      </c>
      <c r="H12" s="3">
        <f>(0.5*(F12*10^-6)*(E12*10^-3)^2)*10^6</f>
        <v>135.42609999999999</v>
      </c>
    </row>
    <row r="13" spans="1:13" x14ac:dyDescent="0.25">
      <c r="A13" s="4">
        <v>45037</v>
      </c>
      <c r="B13" t="s">
        <v>1</v>
      </c>
      <c r="C13">
        <v>100</v>
      </c>
      <c r="D13">
        <v>10</v>
      </c>
      <c r="E13">
        <v>1139</v>
      </c>
      <c r="F13">
        <v>488</v>
      </c>
      <c r="H13" s="3">
        <f t="shared" ref="H13:H44" si="1">(0.5*(F13*10^-6)*(E13*10^-3)^2)*10^6</f>
        <v>316.54632399999997</v>
      </c>
    </row>
    <row r="14" spans="1:13" x14ac:dyDescent="0.25">
      <c r="A14" s="4">
        <v>45037</v>
      </c>
      <c r="B14" t="s">
        <v>1</v>
      </c>
      <c r="C14">
        <v>100</v>
      </c>
      <c r="D14">
        <v>10</v>
      </c>
      <c r="E14">
        <v>2409</v>
      </c>
      <c r="F14">
        <v>488</v>
      </c>
      <c r="H14" s="3">
        <f t="shared" si="1"/>
        <v>1416.0005640000004</v>
      </c>
    </row>
    <row r="15" spans="1:13" x14ac:dyDescent="0.25">
      <c r="A15" s="4">
        <v>45037</v>
      </c>
      <c r="B15" t="s">
        <v>1</v>
      </c>
      <c r="C15">
        <v>100</v>
      </c>
      <c r="D15">
        <v>10</v>
      </c>
      <c r="E15">
        <v>1590</v>
      </c>
      <c r="F15">
        <v>488</v>
      </c>
      <c r="H15" s="3">
        <f t="shared" si="1"/>
        <v>616.85640000000012</v>
      </c>
    </row>
    <row r="16" spans="1:13" x14ac:dyDescent="0.25">
      <c r="A16" s="4">
        <v>45037</v>
      </c>
      <c r="B16" t="s">
        <v>1</v>
      </c>
      <c r="C16">
        <v>100</v>
      </c>
      <c r="D16">
        <v>10</v>
      </c>
      <c r="E16">
        <v>1225</v>
      </c>
      <c r="F16">
        <v>488</v>
      </c>
      <c r="H16" s="3">
        <f t="shared" si="1"/>
        <v>366.15250000000009</v>
      </c>
    </row>
    <row r="17" spans="1:8" x14ac:dyDescent="0.25">
      <c r="A17" s="4">
        <v>45037</v>
      </c>
      <c r="B17" t="s">
        <v>1</v>
      </c>
      <c r="C17">
        <v>100</v>
      </c>
      <c r="D17">
        <v>10</v>
      </c>
      <c r="E17">
        <v>2022</v>
      </c>
      <c r="F17">
        <v>488</v>
      </c>
      <c r="H17" s="3">
        <f t="shared" si="1"/>
        <v>997.59009600000024</v>
      </c>
    </row>
    <row r="18" spans="1:8" x14ac:dyDescent="0.25">
      <c r="A18" s="4">
        <v>45039</v>
      </c>
      <c r="B18" t="s">
        <v>1</v>
      </c>
      <c r="C18">
        <v>100</v>
      </c>
      <c r="D18">
        <v>10</v>
      </c>
      <c r="E18">
        <v>1780</v>
      </c>
      <c r="F18">
        <v>488</v>
      </c>
      <c r="H18" s="3">
        <f t="shared" si="1"/>
        <v>773.08960000000002</v>
      </c>
    </row>
    <row r="19" spans="1:8" x14ac:dyDescent="0.25">
      <c r="A19" s="4">
        <v>45039</v>
      </c>
      <c r="B19" t="s">
        <v>1</v>
      </c>
      <c r="C19">
        <v>100</v>
      </c>
      <c r="D19">
        <v>10</v>
      </c>
      <c r="E19">
        <v>3073</v>
      </c>
      <c r="F19">
        <v>488</v>
      </c>
      <c r="H19" s="3">
        <f t="shared" si="1"/>
        <v>2304.1722759999998</v>
      </c>
    </row>
    <row r="20" spans="1:8" x14ac:dyDescent="0.25">
      <c r="A20" s="4">
        <v>45039</v>
      </c>
      <c r="B20" t="s">
        <v>1</v>
      </c>
      <c r="C20">
        <v>100</v>
      </c>
      <c r="D20">
        <v>10</v>
      </c>
      <c r="E20">
        <v>2127</v>
      </c>
      <c r="F20">
        <v>488</v>
      </c>
      <c r="H20" s="3">
        <f t="shared" si="1"/>
        <v>1103.8874760000003</v>
      </c>
    </row>
    <row r="21" spans="1:8" x14ac:dyDescent="0.25">
      <c r="A21" s="4">
        <v>45039</v>
      </c>
      <c r="B21" t="s">
        <v>1</v>
      </c>
      <c r="C21">
        <v>100</v>
      </c>
      <c r="D21">
        <v>10</v>
      </c>
      <c r="E21">
        <v>1605</v>
      </c>
      <c r="F21">
        <v>488</v>
      </c>
      <c r="H21" s="3">
        <f t="shared" si="1"/>
        <v>628.55010000000004</v>
      </c>
    </row>
    <row r="22" spans="1:8" x14ac:dyDescent="0.25">
      <c r="A22" s="4">
        <v>45039</v>
      </c>
      <c r="B22" t="s">
        <v>1</v>
      </c>
      <c r="C22">
        <v>100</v>
      </c>
      <c r="D22">
        <v>15</v>
      </c>
      <c r="E22">
        <v>1311</v>
      </c>
      <c r="F22">
        <v>488</v>
      </c>
      <c r="H22" s="3">
        <f t="shared" si="1"/>
        <v>419.36792399999996</v>
      </c>
    </row>
    <row r="23" spans="1:8" x14ac:dyDescent="0.25">
      <c r="A23" s="4">
        <v>45039</v>
      </c>
      <c r="B23" t="s">
        <v>1</v>
      </c>
      <c r="C23">
        <v>100</v>
      </c>
      <c r="D23">
        <v>15</v>
      </c>
      <c r="E23">
        <v>1702</v>
      </c>
      <c r="F23">
        <v>488</v>
      </c>
      <c r="H23" s="3">
        <f t="shared" si="1"/>
        <v>706.82017599999995</v>
      </c>
    </row>
    <row r="24" spans="1:8" x14ac:dyDescent="0.25">
      <c r="A24" s="4">
        <v>45039</v>
      </c>
      <c r="B24" t="s">
        <v>1</v>
      </c>
      <c r="C24">
        <v>100</v>
      </c>
      <c r="D24">
        <v>15</v>
      </c>
      <c r="E24">
        <v>1059</v>
      </c>
      <c r="F24">
        <v>488</v>
      </c>
      <c r="H24" s="3">
        <f t="shared" si="1"/>
        <v>273.64136400000001</v>
      </c>
    </row>
    <row r="25" spans="1:8" x14ac:dyDescent="0.25">
      <c r="A25" s="4">
        <v>45039</v>
      </c>
      <c r="B25" t="s">
        <v>1</v>
      </c>
      <c r="C25">
        <v>100</v>
      </c>
      <c r="D25">
        <v>15</v>
      </c>
      <c r="E25">
        <v>877</v>
      </c>
      <c r="F25">
        <v>488</v>
      </c>
      <c r="H25" s="3">
        <f t="shared" si="1"/>
        <v>187.66747599999997</v>
      </c>
    </row>
    <row r="26" spans="1:8" x14ac:dyDescent="0.25">
      <c r="A26" s="4">
        <v>45040</v>
      </c>
      <c r="B26" t="s">
        <v>1</v>
      </c>
      <c r="C26">
        <v>100</v>
      </c>
      <c r="D26">
        <v>15</v>
      </c>
      <c r="E26">
        <v>765</v>
      </c>
      <c r="F26">
        <v>488</v>
      </c>
      <c r="H26" s="3">
        <f t="shared" si="1"/>
        <v>142.79489999999998</v>
      </c>
    </row>
    <row r="27" spans="1:8" x14ac:dyDescent="0.25">
      <c r="A27" s="4">
        <v>45040</v>
      </c>
      <c r="B27" t="s">
        <v>1</v>
      </c>
      <c r="C27">
        <v>100</v>
      </c>
      <c r="D27">
        <v>15</v>
      </c>
      <c r="E27">
        <v>275</v>
      </c>
      <c r="F27">
        <v>488</v>
      </c>
      <c r="H27" s="3">
        <f t="shared" si="1"/>
        <v>18.452500000000004</v>
      </c>
    </row>
    <row r="28" spans="1:8" x14ac:dyDescent="0.25">
      <c r="A28" s="4">
        <v>45040</v>
      </c>
      <c r="B28" t="s">
        <v>1</v>
      </c>
      <c r="C28">
        <v>100</v>
      </c>
      <c r="D28">
        <v>15</v>
      </c>
      <c r="E28">
        <v>416</v>
      </c>
      <c r="F28">
        <v>488</v>
      </c>
      <c r="H28" s="3">
        <f t="shared" si="1"/>
        <v>42.225664000000016</v>
      </c>
    </row>
    <row r="29" spans="1:8" x14ac:dyDescent="0.25">
      <c r="A29" s="4">
        <v>45040</v>
      </c>
      <c r="B29" t="s">
        <v>1</v>
      </c>
      <c r="C29">
        <v>100</v>
      </c>
      <c r="D29">
        <v>15</v>
      </c>
      <c r="E29">
        <v>236</v>
      </c>
      <c r="F29">
        <v>488</v>
      </c>
      <c r="H29" s="3">
        <f t="shared" si="1"/>
        <v>13.589824000000002</v>
      </c>
    </row>
    <row r="30" spans="1:8" x14ac:dyDescent="0.25">
      <c r="A30" s="4">
        <v>45040</v>
      </c>
      <c r="B30" t="s">
        <v>1</v>
      </c>
      <c r="C30">
        <v>100</v>
      </c>
      <c r="D30">
        <v>15</v>
      </c>
      <c r="E30">
        <v>682</v>
      </c>
      <c r="F30">
        <v>488</v>
      </c>
      <c r="H30" s="3">
        <f t="shared" si="1"/>
        <v>113.49025600000002</v>
      </c>
    </row>
    <row r="31" spans="1:8" x14ac:dyDescent="0.25">
      <c r="A31" s="4">
        <v>45040</v>
      </c>
      <c r="B31" t="s">
        <v>1</v>
      </c>
      <c r="C31">
        <v>100</v>
      </c>
      <c r="D31">
        <v>15</v>
      </c>
      <c r="E31">
        <v>1967</v>
      </c>
      <c r="F31">
        <v>488</v>
      </c>
      <c r="H31" s="3">
        <f t="shared" si="1"/>
        <v>944.05771600000003</v>
      </c>
    </row>
    <row r="32" spans="1:8" x14ac:dyDescent="0.25">
      <c r="A32" s="4">
        <v>45040</v>
      </c>
      <c r="B32" t="s">
        <v>1</v>
      </c>
      <c r="C32">
        <v>100</v>
      </c>
      <c r="D32">
        <v>20</v>
      </c>
      <c r="E32">
        <v>164</v>
      </c>
      <c r="F32">
        <v>488</v>
      </c>
      <c r="H32" s="3">
        <f t="shared" si="1"/>
        <v>6.5626240000000005</v>
      </c>
    </row>
    <row r="33" spans="1:8" x14ac:dyDescent="0.25">
      <c r="A33" s="4">
        <v>45040</v>
      </c>
      <c r="B33" t="s">
        <v>1</v>
      </c>
      <c r="C33">
        <v>100</v>
      </c>
      <c r="D33">
        <v>20</v>
      </c>
      <c r="E33">
        <v>287</v>
      </c>
      <c r="F33">
        <v>488</v>
      </c>
      <c r="H33" s="3">
        <f t="shared" si="1"/>
        <v>20.098036000000004</v>
      </c>
    </row>
    <row r="34" spans="1:8" x14ac:dyDescent="0.25">
      <c r="A34" s="4">
        <v>45040</v>
      </c>
      <c r="B34" t="s">
        <v>1</v>
      </c>
      <c r="C34">
        <v>100</v>
      </c>
      <c r="D34">
        <v>20</v>
      </c>
      <c r="E34">
        <v>165</v>
      </c>
      <c r="F34">
        <v>488</v>
      </c>
      <c r="H34" s="3">
        <f t="shared" si="1"/>
        <v>6.6429</v>
      </c>
    </row>
    <row r="35" spans="1:8" x14ac:dyDescent="0.25">
      <c r="A35" s="4">
        <v>45040</v>
      </c>
      <c r="B35" t="s">
        <v>1</v>
      </c>
      <c r="C35">
        <v>100</v>
      </c>
      <c r="D35">
        <v>20</v>
      </c>
      <c r="E35">
        <v>247</v>
      </c>
      <c r="F35">
        <v>488</v>
      </c>
      <c r="H35" s="3">
        <f t="shared" si="1"/>
        <v>14.886196</v>
      </c>
    </row>
    <row r="36" spans="1:8" x14ac:dyDescent="0.25">
      <c r="A36" s="4">
        <v>45040</v>
      </c>
      <c r="B36" t="s">
        <v>1</v>
      </c>
      <c r="C36">
        <v>100</v>
      </c>
      <c r="D36">
        <v>20</v>
      </c>
      <c r="E36">
        <v>167</v>
      </c>
      <c r="F36">
        <v>488</v>
      </c>
      <c r="H36" s="3">
        <f t="shared" si="1"/>
        <v>6.8049160000000013</v>
      </c>
    </row>
    <row r="37" spans="1:8" x14ac:dyDescent="0.25">
      <c r="A37" s="4">
        <v>45040</v>
      </c>
      <c r="B37" t="s">
        <v>1</v>
      </c>
      <c r="C37">
        <v>100</v>
      </c>
      <c r="D37">
        <v>20</v>
      </c>
      <c r="E37">
        <v>45</v>
      </c>
      <c r="F37">
        <v>488</v>
      </c>
      <c r="H37" s="3">
        <f t="shared" si="1"/>
        <v>0.49409999999999998</v>
      </c>
    </row>
    <row r="38" spans="1:8" x14ac:dyDescent="0.25">
      <c r="A38" s="4">
        <v>45041</v>
      </c>
      <c r="B38" t="s">
        <v>1</v>
      </c>
      <c r="C38">
        <v>100</v>
      </c>
      <c r="D38">
        <v>20</v>
      </c>
      <c r="E38">
        <v>191</v>
      </c>
      <c r="F38">
        <v>488</v>
      </c>
      <c r="H38" s="3">
        <f t="shared" si="1"/>
        <v>8.9013639999999992</v>
      </c>
    </row>
    <row r="39" spans="1:8" x14ac:dyDescent="0.25">
      <c r="A39" s="4">
        <v>45041</v>
      </c>
      <c r="B39" t="s">
        <v>1</v>
      </c>
      <c r="C39">
        <v>100</v>
      </c>
      <c r="D39">
        <v>20</v>
      </c>
      <c r="E39">
        <v>290</v>
      </c>
      <c r="F39">
        <v>488</v>
      </c>
      <c r="H39" s="3">
        <f t="shared" si="1"/>
        <v>20.520399999999999</v>
      </c>
    </row>
    <row r="40" spans="1:8" x14ac:dyDescent="0.25">
      <c r="A40" s="4">
        <v>45041</v>
      </c>
      <c r="B40" t="s">
        <v>1</v>
      </c>
      <c r="C40">
        <v>100</v>
      </c>
      <c r="D40">
        <v>20</v>
      </c>
      <c r="E40">
        <v>227</v>
      </c>
      <c r="F40">
        <v>488</v>
      </c>
      <c r="H40" s="3">
        <f t="shared" si="1"/>
        <v>12.573076</v>
      </c>
    </row>
    <row r="41" spans="1:8" x14ac:dyDescent="0.25">
      <c r="A41" s="4">
        <v>45041</v>
      </c>
      <c r="B41" t="s">
        <v>1</v>
      </c>
      <c r="C41">
        <v>100</v>
      </c>
      <c r="D41">
        <v>20</v>
      </c>
      <c r="E41">
        <v>75</v>
      </c>
      <c r="F41">
        <v>488</v>
      </c>
      <c r="H41" s="3">
        <f t="shared" si="1"/>
        <v>1.3725000000000001</v>
      </c>
    </row>
    <row r="42" spans="1:8" x14ac:dyDescent="0.25">
      <c r="A42" s="4">
        <v>45041</v>
      </c>
      <c r="B42" t="s">
        <v>1</v>
      </c>
      <c r="C42">
        <v>100</v>
      </c>
      <c r="D42">
        <v>25</v>
      </c>
      <c r="E42">
        <v>0</v>
      </c>
      <c r="F42">
        <v>488</v>
      </c>
      <c r="H42" s="3">
        <f t="shared" si="1"/>
        <v>0</v>
      </c>
    </row>
    <row r="43" spans="1:8" x14ac:dyDescent="0.25">
      <c r="A43" s="4">
        <v>45041</v>
      </c>
      <c r="B43" t="s">
        <v>1</v>
      </c>
      <c r="C43">
        <v>100</v>
      </c>
      <c r="D43">
        <v>25</v>
      </c>
      <c r="E43">
        <v>0</v>
      </c>
      <c r="F43">
        <v>488</v>
      </c>
      <c r="H43" s="3">
        <f t="shared" si="1"/>
        <v>0</v>
      </c>
    </row>
    <row r="44" spans="1:8" x14ac:dyDescent="0.25">
      <c r="A44" s="4">
        <v>45041</v>
      </c>
      <c r="B44" t="s">
        <v>1</v>
      </c>
      <c r="C44">
        <v>100</v>
      </c>
      <c r="D44">
        <v>25</v>
      </c>
      <c r="E44">
        <v>0</v>
      </c>
      <c r="F44">
        <v>488</v>
      </c>
      <c r="H44" s="3">
        <f t="shared" si="1"/>
        <v>0</v>
      </c>
    </row>
    <row r="45" spans="1:8" x14ac:dyDescent="0.25">
      <c r="H45" s="3"/>
    </row>
    <row r="46" spans="1:8" x14ac:dyDescent="0.25">
      <c r="H46" s="3"/>
    </row>
    <row r="47" spans="1:8" x14ac:dyDescent="0.25">
      <c r="H47" s="3"/>
    </row>
    <row r="48" spans="1:8" x14ac:dyDescent="0.25">
      <c r="H48" s="3"/>
    </row>
    <row r="49" spans="8:8" x14ac:dyDescent="0.25">
      <c r="H49" s="3"/>
    </row>
    <row r="50" spans="8:8" x14ac:dyDescent="0.25">
      <c r="H50" s="3"/>
    </row>
    <row r="51" spans="8:8" x14ac:dyDescent="0.25">
      <c r="H51" s="3"/>
    </row>
    <row r="52" spans="8:8" x14ac:dyDescent="0.25">
      <c r="H52" s="3"/>
    </row>
    <row r="53" spans="8:8" x14ac:dyDescent="0.25">
      <c r="H53" s="3"/>
    </row>
    <row r="54" spans="8:8" x14ac:dyDescent="0.25">
      <c r="H54" s="3"/>
    </row>
    <row r="55" spans="8:8" x14ac:dyDescent="0.25">
      <c r="H55" s="3"/>
    </row>
    <row r="56" spans="8:8" x14ac:dyDescent="0.25">
      <c r="H56" s="3"/>
    </row>
    <row r="57" spans="8:8" x14ac:dyDescent="0.25">
      <c r="H57" s="3"/>
    </row>
    <row r="58" spans="8:8" x14ac:dyDescent="0.25">
      <c r="H58" s="3"/>
    </row>
    <row r="59" spans="8:8" x14ac:dyDescent="0.25">
      <c r="H59" s="3"/>
    </row>
    <row r="60" spans="8:8" x14ac:dyDescent="0.25">
      <c r="H60" s="3"/>
    </row>
    <row r="61" spans="8:8" x14ac:dyDescent="0.25">
      <c r="H61" s="3"/>
    </row>
    <row r="62" spans="8:8" x14ac:dyDescent="0.25">
      <c r="H62" s="3"/>
    </row>
    <row r="63" spans="8:8" x14ac:dyDescent="0.25">
      <c r="H63" s="3"/>
    </row>
    <row r="64" spans="8:8" x14ac:dyDescent="0.25">
      <c r="H64" s="3"/>
    </row>
    <row r="65" spans="8:8" x14ac:dyDescent="0.25">
      <c r="H65" s="3"/>
    </row>
    <row r="66" spans="8:8" x14ac:dyDescent="0.25">
      <c r="H66" s="3"/>
    </row>
    <row r="67" spans="8:8" x14ac:dyDescent="0.25">
      <c r="H67" s="3"/>
    </row>
    <row r="68" spans="8:8" x14ac:dyDescent="0.25">
      <c r="H68" s="3"/>
    </row>
    <row r="69" spans="8:8" x14ac:dyDescent="0.25">
      <c r="H69" s="3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F691-D6E1-433C-BCC9-DE998FEE6B72}">
  <dimension ref="A1:M100"/>
  <sheetViews>
    <sheetView zoomScale="74" workbookViewId="0">
      <selection activeCell="L34" sqref="L34"/>
    </sheetView>
  </sheetViews>
  <sheetFormatPr defaultRowHeight="15" x14ac:dyDescent="0.25"/>
  <cols>
    <col min="1" max="1" width="11.5703125" style="4" customWidth="1"/>
    <col min="3" max="3" width="11.42578125" bestFit="1" customWidth="1"/>
    <col min="4" max="4" width="20.42578125" bestFit="1" customWidth="1"/>
    <col min="5" max="5" width="17.85546875" bestFit="1" customWidth="1"/>
    <col min="6" max="6" width="16.140625" bestFit="1" customWidth="1"/>
    <col min="7" max="7" width="9.140625" customWidth="1"/>
    <col min="8" max="8" width="12.28515625" customWidth="1"/>
  </cols>
  <sheetData>
    <row r="1" spans="1:13" x14ac:dyDescent="0.25">
      <c r="A1" s="6" t="s">
        <v>15</v>
      </c>
      <c r="B1" s="1" t="s">
        <v>0</v>
      </c>
      <c r="C1" s="1" t="s">
        <v>2</v>
      </c>
      <c r="D1" s="1" t="s">
        <v>19</v>
      </c>
      <c r="E1" s="1" t="s">
        <v>16</v>
      </c>
      <c r="F1" s="1" t="s">
        <v>17</v>
      </c>
      <c r="H1" s="1" t="s">
        <v>18</v>
      </c>
    </row>
    <row r="2" spans="1:13" x14ac:dyDescent="0.25">
      <c r="A2" s="4">
        <v>45111</v>
      </c>
      <c r="B2" t="s">
        <v>1</v>
      </c>
      <c r="C2">
        <v>200</v>
      </c>
      <c r="D2">
        <v>5</v>
      </c>
      <c r="E2">
        <v>4200</v>
      </c>
      <c r="F2">
        <v>488</v>
      </c>
      <c r="H2" s="3">
        <f t="shared" ref="H2:H20" si="0">(0.5*(F2*10^-6)*(E2*10^-3)^2)*10^6</f>
        <v>4304.1600000000008</v>
      </c>
      <c r="M2" t="s">
        <v>20</v>
      </c>
    </row>
    <row r="3" spans="1:13" x14ac:dyDescent="0.25">
      <c r="A3" s="4">
        <v>45111</v>
      </c>
      <c r="B3" t="s">
        <v>1</v>
      </c>
      <c r="C3">
        <v>200</v>
      </c>
      <c r="D3">
        <v>5</v>
      </c>
      <c r="E3">
        <v>3136</v>
      </c>
      <c r="F3">
        <v>1034</v>
      </c>
      <c r="H3" s="3">
        <f t="shared" si="0"/>
        <v>5084.4344320000009</v>
      </c>
      <c r="M3" t="s">
        <v>25</v>
      </c>
    </row>
    <row r="4" spans="1:13" x14ac:dyDescent="0.25">
      <c r="A4" s="4">
        <v>45111</v>
      </c>
      <c r="B4" t="s">
        <v>1</v>
      </c>
      <c r="C4">
        <v>200</v>
      </c>
      <c r="D4">
        <v>5</v>
      </c>
      <c r="E4">
        <v>2929</v>
      </c>
      <c r="F4">
        <v>1034</v>
      </c>
      <c r="H4" s="3">
        <f t="shared" si="0"/>
        <v>4435.3641970000008</v>
      </c>
    </row>
    <row r="5" spans="1:13" x14ac:dyDescent="0.25">
      <c r="A5" s="4">
        <v>45111</v>
      </c>
      <c r="B5" t="s">
        <v>1</v>
      </c>
      <c r="C5">
        <v>200</v>
      </c>
      <c r="D5">
        <v>5</v>
      </c>
      <c r="E5" s="5">
        <v>3141</v>
      </c>
      <c r="F5">
        <v>1034</v>
      </c>
      <c r="H5" s="3">
        <f t="shared" si="0"/>
        <v>5100.6604770000004</v>
      </c>
    </row>
    <row r="6" spans="1:13" x14ac:dyDescent="0.25">
      <c r="A6" s="4">
        <v>45111</v>
      </c>
      <c r="B6" t="s">
        <v>1</v>
      </c>
      <c r="C6">
        <v>200</v>
      </c>
      <c r="D6">
        <v>5</v>
      </c>
      <c r="E6" s="5">
        <v>2811</v>
      </c>
      <c r="F6">
        <v>1034</v>
      </c>
      <c r="H6" s="3">
        <f t="shared" si="0"/>
        <v>4085.1897569999996</v>
      </c>
    </row>
    <row r="7" spans="1:13" x14ac:dyDescent="0.25">
      <c r="A7" s="4">
        <v>45111</v>
      </c>
      <c r="B7" t="s">
        <v>1</v>
      </c>
      <c r="C7">
        <v>200</v>
      </c>
      <c r="D7">
        <v>5</v>
      </c>
      <c r="E7" s="5">
        <v>2940</v>
      </c>
      <c r="F7">
        <v>1034</v>
      </c>
      <c r="H7" s="3">
        <f t="shared" si="0"/>
        <v>4468.7411999999995</v>
      </c>
    </row>
    <row r="8" spans="1:13" x14ac:dyDescent="0.25">
      <c r="A8" s="4">
        <v>45111</v>
      </c>
      <c r="B8" t="s">
        <v>1</v>
      </c>
      <c r="C8">
        <v>200</v>
      </c>
      <c r="D8">
        <v>5</v>
      </c>
      <c r="E8" s="5">
        <v>2496</v>
      </c>
      <c r="F8">
        <v>1034</v>
      </c>
      <c r="H8" s="3">
        <f t="shared" si="0"/>
        <v>3220.9182719999999</v>
      </c>
    </row>
    <row r="9" spans="1:13" x14ac:dyDescent="0.25">
      <c r="A9" s="4">
        <v>45111</v>
      </c>
      <c r="B9" t="s">
        <v>1</v>
      </c>
      <c r="C9">
        <v>200</v>
      </c>
      <c r="D9">
        <v>5</v>
      </c>
      <c r="E9" s="5">
        <v>3046</v>
      </c>
      <c r="F9">
        <v>1034</v>
      </c>
      <c r="H9" s="3">
        <f t="shared" si="0"/>
        <v>4796.7859720000006</v>
      </c>
    </row>
    <row r="10" spans="1:13" x14ac:dyDescent="0.25">
      <c r="A10" s="4">
        <v>45111</v>
      </c>
      <c r="B10" t="s">
        <v>1</v>
      </c>
      <c r="C10">
        <v>200</v>
      </c>
      <c r="D10">
        <v>5</v>
      </c>
      <c r="E10" s="5">
        <v>2859</v>
      </c>
      <c r="F10">
        <v>1034</v>
      </c>
      <c r="H10" s="3">
        <f t="shared" si="0"/>
        <v>4225.8964770000002</v>
      </c>
    </row>
    <row r="11" spans="1:13" x14ac:dyDescent="0.25">
      <c r="A11" s="4">
        <v>45111</v>
      </c>
      <c r="B11" t="s">
        <v>1</v>
      </c>
      <c r="C11">
        <v>200</v>
      </c>
      <c r="D11">
        <v>5</v>
      </c>
      <c r="E11" s="5">
        <v>2825</v>
      </c>
      <c r="F11">
        <v>1034</v>
      </c>
      <c r="H11" s="3">
        <f t="shared" si="0"/>
        <v>4125.9831250000007</v>
      </c>
    </row>
    <row r="12" spans="1:13" x14ac:dyDescent="0.25">
      <c r="A12" s="4">
        <v>45112</v>
      </c>
      <c r="B12" t="s">
        <v>1</v>
      </c>
      <c r="C12">
        <v>200</v>
      </c>
      <c r="D12">
        <v>10</v>
      </c>
      <c r="E12" s="5">
        <v>3161</v>
      </c>
      <c r="F12">
        <v>488</v>
      </c>
      <c r="H12" s="3">
        <f t="shared" si="0"/>
        <v>2438.0287239999998</v>
      </c>
    </row>
    <row r="13" spans="1:13" x14ac:dyDescent="0.25">
      <c r="A13" s="4">
        <v>45112</v>
      </c>
      <c r="B13" t="s">
        <v>1</v>
      </c>
      <c r="C13">
        <v>200</v>
      </c>
      <c r="D13">
        <v>10</v>
      </c>
      <c r="E13" s="5">
        <v>3767</v>
      </c>
      <c r="F13">
        <v>488</v>
      </c>
      <c r="H13" s="3">
        <f t="shared" si="0"/>
        <v>3462.4305159999999</v>
      </c>
    </row>
    <row r="14" spans="1:13" x14ac:dyDescent="0.25">
      <c r="A14" s="4">
        <v>45112</v>
      </c>
      <c r="B14" t="s">
        <v>1</v>
      </c>
      <c r="C14">
        <v>200</v>
      </c>
      <c r="D14">
        <v>10</v>
      </c>
      <c r="E14" s="5">
        <v>3171</v>
      </c>
      <c r="F14">
        <v>488</v>
      </c>
      <c r="H14" s="3">
        <f t="shared" si="0"/>
        <v>2453.4788040000003</v>
      </c>
    </row>
    <row r="15" spans="1:13" x14ac:dyDescent="0.25">
      <c r="A15" s="4">
        <v>45112</v>
      </c>
      <c r="B15" t="s">
        <v>1</v>
      </c>
      <c r="C15">
        <v>200</v>
      </c>
      <c r="D15">
        <v>10</v>
      </c>
      <c r="E15" s="5">
        <v>3040</v>
      </c>
      <c r="F15">
        <v>488</v>
      </c>
      <c r="H15" s="3">
        <f t="shared" si="0"/>
        <v>2254.9504000000002</v>
      </c>
    </row>
    <row r="16" spans="1:13" x14ac:dyDescent="0.25">
      <c r="A16" s="4">
        <v>45112</v>
      </c>
      <c r="B16" t="s">
        <v>1</v>
      </c>
      <c r="C16">
        <v>200</v>
      </c>
      <c r="D16">
        <v>10</v>
      </c>
      <c r="E16" s="5">
        <v>2176</v>
      </c>
      <c r="F16">
        <v>488</v>
      </c>
      <c r="H16" s="3">
        <f t="shared" si="0"/>
        <v>1155.3341440000002</v>
      </c>
    </row>
    <row r="17" spans="1:8" x14ac:dyDescent="0.25">
      <c r="A17" s="4">
        <v>45113</v>
      </c>
      <c r="B17" t="s">
        <v>1</v>
      </c>
      <c r="C17">
        <v>200</v>
      </c>
      <c r="D17">
        <v>10</v>
      </c>
      <c r="E17" s="5">
        <v>2968</v>
      </c>
      <c r="F17">
        <v>488</v>
      </c>
      <c r="H17" s="3">
        <f t="shared" si="0"/>
        <v>2149.4018559999995</v>
      </c>
    </row>
    <row r="18" spans="1:8" x14ac:dyDescent="0.25">
      <c r="A18" s="4">
        <v>45113</v>
      </c>
      <c r="B18" t="s">
        <v>1</v>
      </c>
      <c r="C18">
        <v>200</v>
      </c>
      <c r="D18">
        <v>10</v>
      </c>
      <c r="E18" s="5">
        <v>2978</v>
      </c>
      <c r="F18">
        <v>488</v>
      </c>
      <c r="H18" s="3">
        <f t="shared" si="0"/>
        <v>2163.9100960000001</v>
      </c>
    </row>
    <row r="19" spans="1:8" x14ac:dyDescent="0.25">
      <c r="A19" s="4">
        <v>45113</v>
      </c>
      <c r="B19" t="s">
        <v>1</v>
      </c>
      <c r="C19">
        <v>200</v>
      </c>
      <c r="D19">
        <v>10</v>
      </c>
      <c r="E19" s="5">
        <v>2346</v>
      </c>
      <c r="F19">
        <v>488</v>
      </c>
      <c r="H19" s="3">
        <f t="shared" si="0"/>
        <v>1342.906704</v>
      </c>
    </row>
    <row r="20" spans="1:8" x14ac:dyDescent="0.25">
      <c r="A20" s="4">
        <v>45113</v>
      </c>
      <c r="B20" t="s">
        <v>1</v>
      </c>
      <c r="C20">
        <v>200</v>
      </c>
      <c r="D20">
        <v>10</v>
      </c>
      <c r="E20" s="5">
        <v>3219</v>
      </c>
      <c r="F20">
        <v>488</v>
      </c>
      <c r="H20" s="3">
        <f t="shared" si="0"/>
        <v>2528.3184839999999</v>
      </c>
    </row>
    <row r="21" spans="1:8" x14ac:dyDescent="0.25">
      <c r="A21" s="4">
        <v>45113</v>
      </c>
      <c r="B21" t="s">
        <v>1</v>
      </c>
      <c r="C21">
        <v>200</v>
      </c>
      <c r="D21">
        <v>10</v>
      </c>
      <c r="E21" s="5">
        <v>3079</v>
      </c>
      <c r="F21">
        <v>488</v>
      </c>
      <c r="H21" s="3">
        <f t="shared" ref="H21:H31" si="1">(0.5*(F21*10^-6)*(E21*10^-3)^2)*10^6</f>
        <v>2313.1788040000001</v>
      </c>
    </row>
    <row r="22" spans="1:8" x14ac:dyDescent="0.25">
      <c r="A22" s="4">
        <v>45113</v>
      </c>
      <c r="B22" t="s">
        <v>1</v>
      </c>
      <c r="C22">
        <v>200</v>
      </c>
      <c r="D22">
        <v>15</v>
      </c>
      <c r="E22" s="5">
        <v>2072</v>
      </c>
      <c r="F22">
        <v>488</v>
      </c>
      <c r="H22" s="3">
        <f t="shared" si="1"/>
        <v>1047.5368960000001</v>
      </c>
    </row>
    <row r="23" spans="1:8" x14ac:dyDescent="0.25">
      <c r="A23" s="4">
        <v>45113</v>
      </c>
      <c r="B23" t="s">
        <v>1</v>
      </c>
      <c r="C23">
        <v>200</v>
      </c>
      <c r="D23">
        <v>15</v>
      </c>
      <c r="E23" s="5">
        <v>2041</v>
      </c>
      <c r="F23">
        <v>488</v>
      </c>
      <c r="H23" s="3">
        <f t="shared" si="1"/>
        <v>1016.4261639999997</v>
      </c>
    </row>
    <row r="24" spans="1:8" x14ac:dyDescent="0.25">
      <c r="A24" s="4">
        <v>45113</v>
      </c>
      <c r="B24" t="s">
        <v>1</v>
      </c>
      <c r="C24">
        <v>200</v>
      </c>
      <c r="D24">
        <v>15</v>
      </c>
      <c r="E24" s="5">
        <v>1466</v>
      </c>
      <c r="F24">
        <v>488</v>
      </c>
      <c r="H24" s="3">
        <f t="shared" si="1"/>
        <v>524.39406400000007</v>
      </c>
    </row>
    <row r="25" spans="1:8" x14ac:dyDescent="0.25">
      <c r="A25" s="4">
        <v>45113</v>
      </c>
      <c r="B25" t="s">
        <v>1</v>
      </c>
      <c r="C25">
        <v>200</v>
      </c>
      <c r="D25">
        <v>15</v>
      </c>
      <c r="E25" s="5">
        <v>1599</v>
      </c>
      <c r="F25">
        <v>488</v>
      </c>
      <c r="H25" s="3">
        <f t="shared" si="1"/>
        <v>623.85944400000005</v>
      </c>
    </row>
    <row r="26" spans="1:8" x14ac:dyDescent="0.25">
      <c r="A26" s="4">
        <v>45113</v>
      </c>
      <c r="B26" t="s">
        <v>1</v>
      </c>
      <c r="C26">
        <v>200</v>
      </c>
      <c r="D26">
        <v>15</v>
      </c>
      <c r="E26" s="5">
        <v>1314</v>
      </c>
      <c r="F26">
        <v>488</v>
      </c>
      <c r="H26" s="3">
        <f t="shared" si="1"/>
        <v>421.289424</v>
      </c>
    </row>
    <row r="27" spans="1:8" x14ac:dyDescent="0.25">
      <c r="A27" s="4">
        <v>45113</v>
      </c>
      <c r="B27" t="s">
        <v>1</v>
      </c>
      <c r="C27">
        <v>200</v>
      </c>
      <c r="D27">
        <v>15</v>
      </c>
      <c r="E27" s="5">
        <v>1749</v>
      </c>
      <c r="F27">
        <v>488</v>
      </c>
      <c r="H27" s="3">
        <f t="shared" si="1"/>
        <v>746.39624400000014</v>
      </c>
    </row>
    <row r="28" spans="1:8" x14ac:dyDescent="0.25">
      <c r="A28" s="4">
        <v>45116</v>
      </c>
      <c r="B28" t="s">
        <v>1</v>
      </c>
      <c r="C28">
        <v>200</v>
      </c>
      <c r="D28">
        <v>15</v>
      </c>
      <c r="E28" s="5">
        <v>2476</v>
      </c>
      <c r="F28">
        <v>488</v>
      </c>
      <c r="H28" s="3">
        <f t="shared" si="1"/>
        <v>1495.8605439999999</v>
      </c>
    </row>
    <row r="29" spans="1:8" x14ac:dyDescent="0.25">
      <c r="A29" s="4">
        <v>45116</v>
      </c>
      <c r="B29" t="s">
        <v>1</v>
      </c>
      <c r="C29">
        <v>200</v>
      </c>
      <c r="D29">
        <v>15</v>
      </c>
      <c r="E29" s="5">
        <v>1307</v>
      </c>
      <c r="F29">
        <v>488</v>
      </c>
      <c r="H29" s="3">
        <f t="shared" si="1"/>
        <v>416.81275599999998</v>
      </c>
    </row>
    <row r="30" spans="1:8" x14ac:dyDescent="0.25">
      <c r="A30" s="4">
        <v>45116</v>
      </c>
      <c r="B30" t="s">
        <v>1</v>
      </c>
      <c r="C30">
        <v>200</v>
      </c>
      <c r="D30">
        <v>15</v>
      </c>
      <c r="E30" s="5">
        <v>1778</v>
      </c>
      <c r="F30">
        <v>488</v>
      </c>
      <c r="H30" s="3">
        <f t="shared" si="1"/>
        <v>771.353296</v>
      </c>
    </row>
    <row r="31" spans="1:8" x14ac:dyDescent="0.25">
      <c r="A31" s="4">
        <v>45116</v>
      </c>
      <c r="B31" t="s">
        <v>1</v>
      </c>
      <c r="C31">
        <v>200</v>
      </c>
      <c r="D31">
        <v>15</v>
      </c>
      <c r="E31" s="5">
        <v>2059</v>
      </c>
      <c r="F31">
        <v>488</v>
      </c>
      <c r="H31" s="3">
        <f t="shared" si="1"/>
        <v>1034.433364</v>
      </c>
    </row>
    <row r="32" spans="1:8" x14ac:dyDescent="0.25">
      <c r="A32" s="4">
        <v>45118</v>
      </c>
      <c r="B32" t="s">
        <v>1</v>
      </c>
      <c r="C32">
        <v>200</v>
      </c>
      <c r="D32">
        <v>20</v>
      </c>
      <c r="E32" s="5">
        <v>1015</v>
      </c>
      <c r="F32">
        <v>488</v>
      </c>
      <c r="H32" s="3">
        <f t="shared" ref="H32:H42" si="2">(0.5*(F32*10^-6)*(E32*10^-3)^2)*10^6</f>
        <v>251.37490000000005</v>
      </c>
    </row>
    <row r="33" spans="1:8" x14ac:dyDescent="0.25">
      <c r="A33" s="4">
        <v>45118</v>
      </c>
      <c r="B33" t="s">
        <v>1</v>
      </c>
      <c r="C33">
        <v>200</v>
      </c>
      <c r="D33">
        <v>20</v>
      </c>
      <c r="E33" s="5">
        <v>870</v>
      </c>
      <c r="F33">
        <v>488</v>
      </c>
      <c r="H33" s="3">
        <f t="shared" si="2"/>
        <v>184.68360000000001</v>
      </c>
    </row>
    <row r="34" spans="1:8" x14ac:dyDescent="0.25">
      <c r="A34" s="4">
        <v>45118</v>
      </c>
      <c r="B34" t="s">
        <v>1</v>
      </c>
      <c r="C34">
        <v>200</v>
      </c>
      <c r="D34">
        <v>20</v>
      </c>
      <c r="E34" s="5">
        <v>690</v>
      </c>
      <c r="F34">
        <v>488</v>
      </c>
      <c r="H34" s="3">
        <f t="shared" si="2"/>
        <v>116.16840000000002</v>
      </c>
    </row>
    <row r="35" spans="1:8" x14ac:dyDescent="0.25">
      <c r="A35" s="4">
        <v>45118</v>
      </c>
      <c r="B35" t="s">
        <v>1</v>
      </c>
      <c r="C35">
        <v>200</v>
      </c>
      <c r="D35">
        <v>20</v>
      </c>
      <c r="E35" s="5">
        <v>810</v>
      </c>
      <c r="F35">
        <v>488</v>
      </c>
      <c r="H35" s="3">
        <f t="shared" si="2"/>
        <v>160.08840000000001</v>
      </c>
    </row>
    <row r="36" spans="1:8" x14ac:dyDescent="0.25">
      <c r="A36" s="4">
        <v>45118</v>
      </c>
      <c r="B36" t="s">
        <v>1</v>
      </c>
      <c r="C36">
        <v>200</v>
      </c>
      <c r="D36">
        <v>20</v>
      </c>
      <c r="E36" s="5">
        <v>344</v>
      </c>
      <c r="F36">
        <v>488</v>
      </c>
      <c r="H36" s="3">
        <f t="shared" si="2"/>
        <v>28.873984000000004</v>
      </c>
    </row>
    <row r="37" spans="1:8" x14ac:dyDescent="0.25">
      <c r="A37" s="4">
        <v>45119</v>
      </c>
      <c r="B37" t="s">
        <v>1</v>
      </c>
      <c r="C37">
        <v>200</v>
      </c>
      <c r="D37">
        <v>20</v>
      </c>
      <c r="E37" s="5">
        <v>631</v>
      </c>
      <c r="F37">
        <v>488</v>
      </c>
      <c r="H37" s="3">
        <f t="shared" si="2"/>
        <v>97.15128399999999</v>
      </c>
    </row>
    <row r="38" spans="1:8" x14ac:dyDescent="0.25">
      <c r="A38" s="4">
        <v>45119</v>
      </c>
      <c r="B38" t="s">
        <v>1</v>
      </c>
      <c r="C38">
        <v>200</v>
      </c>
      <c r="D38">
        <v>20</v>
      </c>
      <c r="E38" s="5">
        <v>736</v>
      </c>
      <c r="F38">
        <v>488</v>
      </c>
      <c r="H38" s="3">
        <f t="shared" si="2"/>
        <v>132.173824</v>
      </c>
    </row>
    <row r="39" spans="1:8" x14ac:dyDescent="0.25">
      <c r="A39" s="4">
        <v>45119</v>
      </c>
      <c r="B39" t="s">
        <v>1</v>
      </c>
      <c r="C39">
        <v>200</v>
      </c>
      <c r="D39">
        <v>20</v>
      </c>
      <c r="E39" s="5">
        <v>578</v>
      </c>
      <c r="F39">
        <v>488</v>
      </c>
      <c r="H39" s="3">
        <f t="shared" si="2"/>
        <v>81.516495999999975</v>
      </c>
    </row>
    <row r="40" spans="1:8" x14ac:dyDescent="0.25">
      <c r="A40" s="4">
        <v>45119</v>
      </c>
      <c r="B40" t="s">
        <v>1</v>
      </c>
      <c r="C40">
        <v>200</v>
      </c>
      <c r="D40">
        <v>20</v>
      </c>
      <c r="E40" s="5">
        <v>675</v>
      </c>
      <c r="F40">
        <v>488</v>
      </c>
      <c r="H40" s="3">
        <f t="shared" si="2"/>
        <v>111.17250000000001</v>
      </c>
    </row>
    <row r="41" spans="1:8" x14ac:dyDescent="0.25">
      <c r="A41" s="4">
        <v>45119</v>
      </c>
      <c r="B41" t="s">
        <v>1</v>
      </c>
      <c r="C41">
        <v>200</v>
      </c>
      <c r="D41">
        <v>20</v>
      </c>
      <c r="E41" s="5">
        <v>392</v>
      </c>
      <c r="F41">
        <v>488</v>
      </c>
      <c r="H41" s="3">
        <f t="shared" si="2"/>
        <v>37.494016000000009</v>
      </c>
    </row>
    <row r="42" spans="1:8" x14ac:dyDescent="0.25">
      <c r="A42" s="4">
        <v>45119</v>
      </c>
      <c r="B42" t="s">
        <v>1</v>
      </c>
      <c r="C42">
        <v>200</v>
      </c>
      <c r="D42">
        <v>25</v>
      </c>
      <c r="E42" s="5">
        <v>206</v>
      </c>
      <c r="F42">
        <v>488</v>
      </c>
      <c r="H42" s="3">
        <f t="shared" si="2"/>
        <v>10.354384000000001</v>
      </c>
    </row>
    <row r="43" spans="1:8" hidden="1" x14ac:dyDescent="0.25">
      <c r="B43" t="s">
        <v>1</v>
      </c>
      <c r="C43">
        <v>200</v>
      </c>
      <c r="D43">
        <v>25</v>
      </c>
      <c r="H43" s="3">
        <f t="shared" ref="H43:H51" si="3">(0.5*(F43*10^-6)*(E43*10^-3)^2)*10^6</f>
        <v>0</v>
      </c>
    </row>
    <row r="44" spans="1:8" hidden="1" x14ac:dyDescent="0.25">
      <c r="B44" t="s">
        <v>1</v>
      </c>
      <c r="C44">
        <v>200</v>
      </c>
      <c r="D44">
        <v>25</v>
      </c>
      <c r="H44" s="3">
        <f t="shared" si="3"/>
        <v>0</v>
      </c>
    </row>
    <row r="45" spans="1:8" hidden="1" x14ac:dyDescent="0.25">
      <c r="B45" t="s">
        <v>1</v>
      </c>
      <c r="C45">
        <v>200</v>
      </c>
      <c r="D45">
        <v>25</v>
      </c>
      <c r="H45" s="3">
        <f t="shared" si="3"/>
        <v>0</v>
      </c>
    </row>
    <row r="46" spans="1:8" hidden="1" x14ac:dyDescent="0.25">
      <c r="B46" t="s">
        <v>1</v>
      </c>
      <c r="C46">
        <v>200</v>
      </c>
      <c r="D46">
        <v>25</v>
      </c>
      <c r="H46" s="3">
        <f t="shared" si="3"/>
        <v>0</v>
      </c>
    </row>
    <row r="47" spans="1:8" hidden="1" x14ac:dyDescent="0.25">
      <c r="B47" t="s">
        <v>1</v>
      </c>
      <c r="C47">
        <v>200</v>
      </c>
      <c r="D47">
        <v>25</v>
      </c>
      <c r="H47" s="3">
        <f t="shared" si="3"/>
        <v>0</v>
      </c>
    </row>
    <row r="48" spans="1:8" hidden="1" x14ac:dyDescent="0.25">
      <c r="B48" t="s">
        <v>1</v>
      </c>
      <c r="C48">
        <v>200</v>
      </c>
      <c r="D48">
        <v>25</v>
      </c>
      <c r="H48" s="3">
        <f t="shared" si="3"/>
        <v>0</v>
      </c>
    </row>
    <row r="49" spans="1:10" hidden="1" x14ac:dyDescent="0.25">
      <c r="B49" t="s">
        <v>1</v>
      </c>
      <c r="C49">
        <v>200</v>
      </c>
      <c r="D49">
        <v>25</v>
      </c>
      <c r="H49" s="3">
        <f t="shared" si="3"/>
        <v>0</v>
      </c>
    </row>
    <row r="50" spans="1:10" hidden="1" x14ac:dyDescent="0.25">
      <c r="B50" t="s">
        <v>1</v>
      </c>
      <c r="C50">
        <v>200</v>
      </c>
      <c r="D50">
        <v>25</v>
      </c>
      <c r="H50" s="3">
        <f t="shared" si="3"/>
        <v>0</v>
      </c>
    </row>
    <row r="51" spans="1:10" hidden="1" x14ac:dyDescent="0.25">
      <c r="B51" t="s">
        <v>1</v>
      </c>
      <c r="C51">
        <v>200</v>
      </c>
      <c r="D51">
        <v>25</v>
      </c>
      <c r="H51" s="3">
        <f t="shared" si="3"/>
        <v>0</v>
      </c>
    </row>
    <row r="52" spans="1:10" hidden="1" x14ac:dyDescent="0.25">
      <c r="A52" s="4">
        <v>45072</v>
      </c>
      <c r="B52" t="s">
        <v>1</v>
      </c>
      <c r="C52">
        <v>200</v>
      </c>
      <c r="D52">
        <v>10</v>
      </c>
      <c r="E52">
        <v>1682</v>
      </c>
      <c r="F52">
        <v>488</v>
      </c>
      <c r="H52" s="3">
        <f t="shared" ref="H52:H65" si="4">(0.5*(F52*10^-6)*(E52*10^-3)^2)*10^6</f>
        <v>690.30625599999996</v>
      </c>
    </row>
    <row r="53" spans="1:10" hidden="1" x14ac:dyDescent="0.25">
      <c r="A53" s="4">
        <v>45072</v>
      </c>
      <c r="B53" t="s">
        <v>1</v>
      </c>
      <c r="C53">
        <v>200</v>
      </c>
      <c r="D53">
        <v>15</v>
      </c>
      <c r="E53">
        <v>1452</v>
      </c>
      <c r="F53">
        <v>488</v>
      </c>
      <c r="H53" s="3">
        <f t="shared" si="4"/>
        <v>514.42617599999994</v>
      </c>
    </row>
    <row r="54" spans="1:10" hidden="1" x14ac:dyDescent="0.25">
      <c r="A54" s="4">
        <v>45072</v>
      </c>
      <c r="B54" t="s">
        <v>1</v>
      </c>
      <c r="C54">
        <v>200</v>
      </c>
      <c r="D54">
        <v>15</v>
      </c>
      <c r="E54">
        <v>1024</v>
      </c>
      <c r="F54">
        <v>488</v>
      </c>
      <c r="H54" s="3">
        <f t="shared" si="4"/>
        <v>255.85254399999999</v>
      </c>
    </row>
    <row r="55" spans="1:10" hidden="1" x14ac:dyDescent="0.25">
      <c r="A55" s="4">
        <v>45072</v>
      </c>
      <c r="B55" t="s">
        <v>1</v>
      </c>
      <c r="C55">
        <v>200</v>
      </c>
      <c r="D55">
        <v>15</v>
      </c>
      <c r="E55">
        <v>646</v>
      </c>
      <c r="F55">
        <v>488</v>
      </c>
      <c r="H55" s="3">
        <f t="shared" si="4"/>
        <v>101.825104</v>
      </c>
    </row>
    <row r="56" spans="1:10" hidden="1" x14ac:dyDescent="0.25">
      <c r="A56" s="4">
        <v>45072</v>
      </c>
      <c r="B56" t="s">
        <v>1</v>
      </c>
      <c r="C56">
        <v>200</v>
      </c>
      <c r="D56">
        <v>15</v>
      </c>
      <c r="E56">
        <v>839</v>
      </c>
      <c r="F56">
        <v>488</v>
      </c>
      <c r="H56" s="3">
        <f t="shared" si="4"/>
        <v>171.75672399999996</v>
      </c>
    </row>
    <row r="57" spans="1:10" hidden="1" x14ac:dyDescent="0.25">
      <c r="A57" s="4">
        <v>45072</v>
      </c>
      <c r="B57" t="s">
        <v>1</v>
      </c>
      <c r="C57">
        <v>200</v>
      </c>
      <c r="D57">
        <v>15</v>
      </c>
      <c r="E57">
        <v>821</v>
      </c>
      <c r="F57">
        <v>488</v>
      </c>
      <c r="H57" s="3">
        <f t="shared" si="4"/>
        <v>164.46600400000003</v>
      </c>
    </row>
    <row r="58" spans="1:10" hidden="1" x14ac:dyDescent="0.25">
      <c r="A58" s="4">
        <v>45083</v>
      </c>
      <c r="B58" t="s">
        <v>1</v>
      </c>
      <c r="C58">
        <v>200</v>
      </c>
      <c r="D58">
        <v>15</v>
      </c>
      <c r="E58">
        <v>825</v>
      </c>
      <c r="F58">
        <v>488</v>
      </c>
      <c r="H58" s="3">
        <f t="shared" si="4"/>
        <v>166.07250000000002</v>
      </c>
    </row>
    <row r="59" spans="1:10" hidden="1" x14ac:dyDescent="0.25">
      <c r="A59" s="4">
        <v>45083</v>
      </c>
      <c r="B59" t="s">
        <v>1</v>
      </c>
      <c r="C59">
        <v>200</v>
      </c>
      <c r="D59">
        <v>15</v>
      </c>
      <c r="E59">
        <v>800</v>
      </c>
      <c r="F59">
        <v>488</v>
      </c>
      <c r="H59" s="3">
        <f t="shared" si="4"/>
        <v>156.16000000000003</v>
      </c>
    </row>
    <row r="60" spans="1:10" hidden="1" x14ac:dyDescent="0.25">
      <c r="A60" s="4">
        <v>45083</v>
      </c>
      <c r="B60" t="s">
        <v>1</v>
      </c>
      <c r="C60">
        <v>200</v>
      </c>
      <c r="D60">
        <v>15</v>
      </c>
      <c r="E60">
        <v>843</v>
      </c>
      <c r="F60">
        <v>488</v>
      </c>
      <c r="H60" s="3">
        <f t="shared" si="4"/>
        <v>173.39835600000001</v>
      </c>
    </row>
    <row r="61" spans="1:10" hidden="1" x14ac:dyDescent="0.25">
      <c r="A61" s="4">
        <v>45083</v>
      </c>
      <c r="B61" t="s">
        <v>1</v>
      </c>
      <c r="C61">
        <v>200</v>
      </c>
      <c r="D61">
        <v>15</v>
      </c>
      <c r="E61">
        <v>803</v>
      </c>
      <c r="F61">
        <v>488</v>
      </c>
      <c r="H61" s="3">
        <f t="shared" si="4"/>
        <v>157.33339600000002</v>
      </c>
    </row>
    <row r="62" spans="1:10" hidden="1" x14ac:dyDescent="0.25">
      <c r="A62" s="4">
        <v>45083</v>
      </c>
      <c r="B62" t="s">
        <v>1</v>
      </c>
      <c r="C62">
        <v>200</v>
      </c>
      <c r="D62">
        <v>15</v>
      </c>
      <c r="E62">
        <v>1682</v>
      </c>
      <c r="F62">
        <v>488</v>
      </c>
      <c r="H62" s="3">
        <f t="shared" si="4"/>
        <v>690.30625599999996</v>
      </c>
    </row>
    <row r="63" spans="1:10" x14ac:dyDescent="0.25">
      <c r="A63" s="4">
        <v>45119</v>
      </c>
      <c r="B63" t="s">
        <v>1</v>
      </c>
      <c r="C63">
        <v>200</v>
      </c>
      <c r="D63">
        <v>25</v>
      </c>
      <c r="E63">
        <v>18</v>
      </c>
      <c r="F63">
        <v>488</v>
      </c>
      <c r="H63" s="3">
        <f t="shared" si="4"/>
        <v>7.9056000000000015E-2</v>
      </c>
    </row>
    <row r="64" spans="1:10" x14ac:dyDescent="0.25">
      <c r="A64" s="4">
        <v>45119</v>
      </c>
      <c r="B64" t="s">
        <v>1</v>
      </c>
      <c r="C64">
        <v>200</v>
      </c>
      <c r="D64">
        <v>25</v>
      </c>
      <c r="E64">
        <v>106</v>
      </c>
      <c r="F64">
        <v>488</v>
      </c>
      <c r="H64" s="3">
        <f t="shared" si="4"/>
        <v>2.7415839999999996</v>
      </c>
      <c r="J64" t="s">
        <v>132</v>
      </c>
    </row>
    <row r="65" spans="1:8" x14ac:dyDescent="0.25">
      <c r="A65" s="4">
        <v>45119</v>
      </c>
      <c r="B65" t="s">
        <v>1</v>
      </c>
      <c r="C65">
        <v>200</v>
      </c>
      <c r="D65">
        <v>25</v>
      </c>
      <c r="E65">
        <v>94</v>
      </c>
      <c r="F65">
        <v>488</v>
      </c>
      <c r="H65" s="3">
        <f t="shared" si="4"/>
        <v>2.1559840000000001</v>
      </c>
    </row>
    <row r="66" spans="1:8" x14ac:dyDescent="0.25">
      <c r="A66" s="4">
        <v>45119</v>
      </c>
      <c r="B66" t="s">
        <v>1</v>
      </c>
      <c r="C66">
        <v>200</v>
      </c>
      <c r="D66">
        <v>25</v>
      </c>
      <c r="E66">
        <v>124</v>
      </c>
      <c r="F66">
        <v>488</v>
      </c>
      <c r="H66" s="3">
        <f>(0.5*(F66*10^-6)*(E66*10^-3)^2)*10^6</f>
        <v>3.7517439999999995</v>
      </c>
    </row>
    <row r="67" spans="1:8" x14ac:dyDescent="0.25">
      <c r="A67" s="4">
        <v>45120</v>
      </c>
      <c r="B67" t="s">
        <v>1</v>
      </c>
      <c r="C67">
        <v>200</v>
      </c>
      <c r="D67">
        <v>25</v>
      </c>
      <c r="E67">
        <v>140</v>
      </c>
      <c r="F67">
        <v>488</v>
      </c>
      <c r="H67" s="3">
        <f t="shared" ref="H67:H71" si="5">(0.5*(F67*10^-6)*(E67*10^-3)^2)*10^6</f>
        <v>4.7824000000000009</v>
      </c>
    </row>
    <row r="68" spans="1:8" x14ac:dyDescent="0.25">
      <c r="A68" s="4">
        <v>45120</v>
      </c>
      <c r="B68" t="s">
        <v>1</v>
      </c>
      <c r="C68">
        <v>200</v>
      </c>
      <c r="D68">
        <v>25</v>
      </c>
      <c r="E68">
        <v>96</v>
      </c>
      <c r="F68">
        <v>488</v>
      </c>
      <c r="H68" s="3">
        <f t="shared" si="5"/>
        <v>2.248704</v>
      </c>
    </row>
    <row r="69" spans="1:8" x14ac:dyDescent="0.25">
      <c r="A69" s="4">
        <v>45120</v>
      </c>
      <c r="B69" t="s">
        <v>1</v>
      </c>
      <c r="C69">
        <v>200</v>
      </c>
      <c r="D69">
        <v>25</v>
      </c>
      <c r="E69">
        <v>83</v>
      </c>
      <c r="F69">
        <v>488</v>
      </c>
      <c r="H69" s="3">
        <f t="shared" si="5"/>
        <v>1.6809160000000003</v>
      </c>
    </row>
    <row r="70" spans="1:8" x14ac:dyDescent="0.25">
      <c r="A70" s="4">
        <v>45120</v>
      </c>
      <c r="B70" t="s">
        <v>1</v>
      </c>
      <c r="C70">
        <v>200</v>
      </c>
      <c r="D70">
        <v>25</v>
      </c>
      <c r="E70">
        <v>0</v>
      </c>
      <c r="F70">
        <v>488</v>
      </c>
      <c r="H70" s="3">
        <f t="shared" si="5"/>
        <v>0</v>
      </c>
    </row>
    <row r="71" spans="1:8" x14ac:dyDescent="0.25">
      <c r="A71" s="4">
        <v>45120</v>
      </c>
      <c r="B71" t="s">
        <v>1</v>
      </c>
      <c r="C71">
        <v>200</v>
      </c>
      <c r="D71">
        <v>25</v>
      </c>
      <c r="E71">
        <v>19</v>
      </c>
      <c r="F71">
        <v>488</v>
      </c>
      <c r="H71" s="3">
        <f t="shared" si="5"/>
        <v>8.8083999999999996E-2</v>
      </c>
    </row>
    <row r="83" spans="8:8" x14ac:dyDescent="0.25">
      <c r="H83" s="3"/>
    </row>
    <row r="84" spans="8:8" x14ac:dyDescent="0.25">
      <c r="H84" s="3"/>
    </row>
    <row r="85" spans="8:8" x14ac:dyDescent="0.25">
      <c r="H85" s="3"/>
    </row>
    <row r="86" spans="8:8" x14ac:dyDescent="0.25">
      <c r="H86" s="3"/>
    </row>
    <row r="87" spans="8:8" x14ac:dyDescent="0.25">
      <c r="H87" s="3"/>
    </row>
    <row r="88" spans="8:8" x14ac:dyDescent="0.25">
      <c r="H88" s="3"/>
    </row>
    <row r="89" spans="8:8" x14ac:dyDescent="0.25">
      <c r="H89" s="3"/>
    </row>
    <row r="90" spans="8:8" x14ac:dyDescent="0.25">
      <c r="H90" s="3"/>
    </row>
    <row r="91" spans="8:8" x14ac:dyDescent="0.25">
      <c r="H91" s="3"/>
    </row>
    <row r="92" spans="8:8" x14ac:dyDescent="0.25">
      <c r="H92" s="3"/>
    </row>
    <row r="93" spans="8:8" x14ac:dyDescent="0.25">
      <c r="H93" s="3"/>
    </row>
    <row r="94" spans="8:8" x14ac:dyDescent="0.25">
      <c r="H94" s="3"/>
    </row>
    <row r="95" spans="8:8" x14ac:dyDescent="0.25">
      <c r="H95" s="3"/>
    </row>
    <row r="96" spans="8:8" x14ac:dyDescent="0.25">
      <c r="H96" s="3"/>
    </row>
    <row r="97" spans="8:8" x14ac:dyDescent="0.25">
      <c r="H97" s="3"/>
    </row>
    <row r="98" spans="8:8" x14ac:dyDescent="0.25">
      <c r="H98" s="3"/>
    </row>
    <row r="99" spans="8:8" x14ac:dyDescent="0.25">
      <c r="H99" s="3"/>
    </row>
    <row r="100" spans="8:8" x14ac:dyDescent="0.25">
      <c r="H100" s="3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64734-87EB-4095-9BD4-589FB4BE43D1}">
  <dimension ref="A1:Y116"/>
  <sheetViews>
    <sheetView tabSelected="1" workbookViewId="0">
      <selection activeCell="O5" sqref="O5"/>
    </sheetView>
  </sheetViews>
  <sheetFormatPr defaultRowHeight="15" x14ac:dyDescent="0.25"/>
  <cols>
    <col min="1" max="1" width="9.42578125" bestFit="1" customWidth="1"/>
    <col min="3" max="3" width="11.42578125" bestFit="1" customWidth="1"/>
    <col min="4" max="4" width="21.42578125" bestFit="1" customWidth="1"/>
    <col min="5" max="5" width="22.5703125" customWidth="1"/>
    <col min="6" max="6" width="21" customWidth="1"/>
    <col min="8" max="9" width="15.42578125" bestFit="1" customWidth="1"/>
    <col min="14" max="14" width="22.7109375" bestFit="1" customWidth="1"/>
  </cols>
  <sheetData>
    <row r="1" spans="1:12" x14ac:dyDescent="0.25">
      <c r="A1" s="14" t="s">
        <v>104</v>
      </c>
      <c r="B1" s="14"/>
      <c r="C1" s="14"/>
      <c r="D1" s="14"/>
      <c r="E1" s="14" t="s">
        <v>105</v>
      </c>
      <c r="F1" s="14"/>
      <c r="G1" s="14" t="s">
        <v>43</v>
      </c>
      <c r="H1" s="14"/>
      <c r="I1" s="14"/>
      <c r="J1" s="14"/>
      <c r="K1" s="14"/>
    </row>
    <row r="2" spans="1:12" x14ac:dyDescent="0.25">
      <c r="A2" s="6" t="s">
        <v>15</v>
      </c>
      <c r="B2" s="1" t="s">
        <v>0</v>
      </c>
      <c r="C2" s="1" t="s">
        <v>2</v>
      </c>
      <c r="D2" s="1" t="s">
        <v>68</v>
      </c>
      <c r="E2" s="1" t="s">
        <v>34</v>
      </c>
      <c r="F2" s="1" t="s">
        <v>35</v>
      </c>
      <c r="G2" s="1" t="s">
        <v>44</v>
      </c>
      <c r="H2" s="1" t="s">
        <v>45</v>
      </c>
      <c r="I2" s="1" t="s">
        <v>46</v>
      </c>
      <c r="J2" s="1" t="s">
        <v>47</v>
      </c>
      <c r="K2" s="1" t="s">
        <v>48</v>
      </c>
      <c r="L2" s="1" t="s">
        <v>86</v>
      </c>
    </row>
    <row r="3" spans="1:12" x14ac:dyDescent="0.25">
      <c r="A3" s="4">
        <v>45106</v>
      </c>
      <c r="B3" t="s">
        <v>1</v>
      </c>
      <c r="C3">
        <v>100</v>
      </c>
      <c r="D3">
        <v>5</v>
      </c>
      <c r="E3">
        <v>3</v>
      </c>
      <c r="F3" t="s">
        <v>122</v>
      </c>
      <c r="G3" t="s">
        <v>49</v>
      </c>
      <c r="H3">
        <v>5</v>
      </c>
      <c r="I3">
        <v>2800</v>
      </c>
      <c r="J3" t="s">
        <v>49</v>
      </c>
      <c r="K3" t="s">
        <v>49</v>
      </c>
      <c r="L3">
        <v>3</v>
      </c>
    </row>
    <row r="4" spans="1:12" x14ac:dyDescent="0.25">
      <c r="A4" s="4">
        <v>45106</v>
      </c>
      <c r="B4" t="s">
        <v>1</v>
      </c>
      <c r="C4">
        <v>100</v>
      </c>
      <c r="D4">
        <v>5</v>
      </c>
      <c r="E4">
        <v>3</v>
      </c>
      <c r="F4" t="s">
        <v>123</v>
      </c>
      <c r="G4" t="s">
        <v>49</v>
      </c>
      <c r="H4">
        <v>5</v>
      </c>
      <c r="I4">
        <v>2800</v>
      </c>
      <c r="J4" t="s">
        <v>49</v>
      </c>
      <c r="K4" t="s">
        <v>49</v>
      </c>
      <c r="L4">
        <v>3</v>
      </c>
    </row>
    <row r="5" spans="1:12" x14ac:dyDescent="0.25">
      <c r="A5" s="4">
        <v>45106</v>
      </c>
      <c r="B5" t="s">
        <v>1</v>
      </c>
      <c r="C5">
        <v>100</v>
      </c>
      <c r="D5">
        <v>5</v>
      </c>
      <c r="E5">
        <v>2</v>
      </c>
      <c r="F5" t="s">
        <v>124</v>
      </c>
      <c r="G5" t="s">
        <v>49</v>
      </c>
      <c r="H5">
        <v>5</v>
      </c>
      <c r="I5">
        <v>2800</v>
      </c>
      <c r="J5" t="s">
        <v>49</v>
      </c>
      <c r="K5" t="s">
        <v>49</v>
      </c>
      <c r="L5">
        <v>3</v>
      </c>
    </row>
    <row r="6" spans="1:12" x14ac:dyDescent="0.25">
      <c r="A6" s="4">
        <v>45106</v>
      </c>
      <c r="B6" t="s">
        <v>1</v>
      </c>
      <c r="C6">
        <v>100</v>
      </c>
      <c r="D6">
        <v>5</v>
      </c>
      <c r="E6">
        <v>3</v>
      </c>
      <c r="F6" t="s">
        <v>125</v>
      </c>
      <c r="G6" t="s">
        <v>49</v>
      </c>
      <c r="H6">
        <v>5</v>
      </c>
      <c r="I6">
        <v>2800</v>
      </c>
      <c r="J6" t="s">
        <v>49</v>
      </c>
      <c r="K6" t="s">
        <v>49</v>
      </c>
      <c r="L6">
        <v>3</v>
      </c>
    </row>
    <row r="7" spans="1:12" x14ac:dyDescent="0.25">
      <c r="A7" s="4">
        <v>45106</v>
      </c>
      <c r="B7" t="s">
        <v>1</v>
      </c>
      <c r="C7">
        <v>100</v>
      </c>
      <c r="D7">
        <v>5</v>
      </c>
      <c r="E7">
        <v>3</v>
      </c>
      <c r="F7" t="s">
        <v>126</v>
      </c>
      <c r="G7" t="s">
        <v>49</v>
      </c>
      <c r="H7">
        <v>5</v>
      </c>
      <c r="I7">
        <v>2800</v>
      </c>
      <c r="J7" t="s">
        <v>49</v>
      </c>
      <c r="K7" t="s">
        <v>49</v>
      </c>
      <c r="L7">
        <v>3</v>
      </c>
    </row>
    <row r="8" spans="1:12" x14ac:dyDescent="0.25">
      <c r="A8" s="4">
        <v>45107</v>
      </c>
      <c r="B8" t="s">
        <v>1</v>
      </c>
      <c r="C8">
        <v>100</v>
      </c>
      <c r="D8">
        <v>5</v>
      </c>
      <c r="E8">
        <v>2</v>
      </c>
      <c r="F8" t="s">
        <v>127</v>
      </c>
      <c r="G8" t="s">
        <v>49</v>
      </c>
      <c r="H8">
        <v>5</v>
      </c>
      <c r="I8">
        <v>2800</v>
      </c>
      <c r="J8" t="s">
        <v>49</v>
      </c>
      <c r="K8" t="s">
        <v>49</v>
      </c>
      <c r="L8">
        <v>3</v>
      </c>
    </row>
    <row r="9" spans="1:12" x14ac:dyDescent="0.25">
      <c r="A9" s="4">
        <v>45107</v>
      </c>
      <c r="B9" t="s">
        <v>1</v>
      </c>
      <c r="C9">
        <v>100</v>
      </c>
      <c r="D9">
        <v>5</v>
      </c>
      <c r="E9">
        <v>2</v>
      </c>
      <c r="F9" t="s">
        <v>128</v>
      </c>
      <c r="G9" t="s">
        <v>49</v>
      </c>
      <c r="H9">
        <v>5</v>
      </c>
      <c r="I9">
        <v>2800</v>
      </c>
      <c r="J9" t="s">
        <v>49</v>
      </c>
      <c r="K9" t="s">
        <v>49</v>
      </c>
      <c r="L9">
        <v>3</v>
      </c>
    </row>
    <row r="10" spans="1:12" x14ac:dyDescent="0.25">
      <c r="A10" s="4">
        <v>45107</v>
      </c>
      <c r="B10" t="s">
        <v>1</v>
      </c>
      <c r="C10">
        <v>100</v>
      </c>
      <c r="D10">
        <v>5</v>
      </c>
      <c r="E10">
        <v>2</v>
      </c>
      <c r="F10" t="s">
        <v>129</v>
      </c>
      <c r="G10" t="s">
        <v>49</v>
      </c>
      <c r="H10">
        <v>5</v>
      </c>
      <c r="I10">
        <v>2800</v>
      </c>
      <c r="J10" t="s">
        <v>49</v>
      </c>
      <c r="K10" t="s">
        <v>49</v>
      </c>
      <c r="L10">
        <v>3</v>
      </c>
    </row>
    <row r="11" spans="1:12" x14ac:dyDescent="0.25">
      <c r="A11" s="4">
        <v>45107</v>
      </c>
      <c r="B11" t="s">
        <v>1</v>
      </c>
      <c r="C11">
        <v>100</v>
      </c>
      <c r="D11">
        <v>5</v>
      </c>
      <c r="E11">
        <v>3</v>
      </c>
      <c r="F11" t="s">
        <v>130</v>
      </c>
      <c r="G11" t="s">
        <v>49</v>
      </c>
      <c r="H11">
        <v>5</v>
      </c>
      <c r="I11">
        <v>2800</v>
      </c>
      <c r="J11" t="s">
        <v>49</v>
      </c>
      <c r="K11" t="s">
        <v>49</v>
      </c>
      <c r="L11">
        <v>3</v>
      </c>
    </row>
    <row r="12" spans="1:12" x14ac:dyDescent="0.25">
      <c r="A12" s="4">
        <v>45107</v>
      </c>
      <c r="B12" t="s">
        <v>1</v>
      </c>
      <c r="C12">
        <v>100</v>
      </c>
      <c r="D12">
        <v>5</v>
      </c>
      <c r="E12">
        <v>3</v>
      </c>
      <c r="F12" t="s">
        <v>131</v>
      </c>
      <c r="G12" t="s">
        <v>49</v>
      </c>
      <c r="H12">
        <v>5</v>
      </c>
      <c r="I12">
        <v>2800</v>
      </c>
      <c r="J12" t="s">
        <v>49</v>
      </c>
      <c r="K12" t="s">
        <v>49</v>
      </c>
      <c r="L12">
        <v>3</v>
      </c>
    </row>
    <row r="13" spans="1:12" x14ac:dyDescent="0.25">
      <c r="A13" s="4">
        <v>45106</v>
      </c>
      <c r="B13" t="s">
        <v>1</v>
      </c>
      <c r="C13">
        <v>100</v>
      </c>
      <c r="D13">
        <v>6</v>
      </c>
      <c r="E13">
        <v>2</v>
      </c>
      <c r="F13" t="s">
        <v>113</v>
      </c>
      <c r="G13" t="s">
        <v>49</v>
      </c>
      <c r="H13">
        <v>5</v>
      </c>
      <c r="I13">
        <v>2800</v>
      </c>
      <c r="J13" t="s">
        <v>49</v>
      </c>
      <c r="K13" t="s">
        <v>49</v>
      </c>
      <c r="L13">
        <v>4</v>
      </c>
    </row>
    <row r="14" spans="1:12" x14ac:dyDescent="0.25">
      <c r="A14" s="4">
        <v>45106</v>
      </c>
      <c r="B14" t="s">
        <v>1</v>
      </c>
      <c r="C14">
        <v>100</v>
      </c>
      <c r="D14">
        <v>6</v>
      </c>
      <c r="E14">
        <v>1</v>
      </c>
      <c r="F14" t="s">
        <v>114</v>
      </c>
      <c r="G14" t="s">
        <v>49</v>
      </c>
      <c r="H14">
        <v>5</v>
      </c>
      <c r="I14">
        <v>2800</v>
      </c>
      <c r="J14" t="s">
        <v>49</v>
      </c>
      <c r="K14" t="s">
        <v>49</v>
      </c>
      <c r="L14">
        <v>4</v>
      </c>
    </row>
    <row r="15" spans="1:12" x14ac:dyDescent="0.25">
      <c r="A15" s="4">
        <v>45106</v>
      </c>
      <c r="B15" t="s">
        <v>1</v>
      </c>
      <c r="C15">
        <v>100</v>
      </c>
      <c r="D15">
        <v>6</v>
      </c>
      <c r="E15">
        <v>3</v>
      </c>
      <c r="F15" t="s">
        <v>115</v>
      </c>
      <c r="G15" t="s">
        <v>49</v>
      </c>
      <c r="H15">
        <v>5</v>
      </c>
      <c r="I15">
        <v>2800</v>
      </c>
      <c r="J15" t="s">
        <v>49</v>
      </c>
      <c r="K15" t="s">
        <v>49</v>
      </c>
      <c r="L15">
        <v>3</v>
      </c>
    </row>
    <row r="16" spans="1:12" x14ac:dyDescent="0.25">
      <c r="A16" s="4">
        <v>45106</v>
      </c>
      <c r="B16" t="s">
        <v>1</v>
      </c>
      <c r="C16">
        <v>100</v>
      </c>
      <c r="D16">
        <v>6</v>
      </c>
      <c r="E16">
        <v>1</v>
      </c>
      <c r="F16" t="s">
        <v>116</v>
      </c>
      <c r="G16" t="s">
        <v>49</v>
      </c>
      <c r="H16">
        <v>5</v>
      </c>
      <c r="I16">
        <v>2800</v>
      </c>
      <c r="J16" t="s">
        <v>49</v>
      </c>
      <c r="K16" t="s">
        <v>49</v>
      </c>
      <c r="L16">
        <v>3</v>
      </c>
    </row>
    <row r="17" spans="1:25" x14ac:dyDescent="0.25">
      <c r="A17" s="4">
        <v>45106</v>
      </c>
      <c r="B17" t="s">
        <v>1</v>
      </c>
      <c r="C17">
        <v>100</v>
      </c>
      <c r="D17">
        <v>6</v>
      </c>
      <c r="E17">
        <v>3</v>
      </c>
      <c r="F17" t="s">
        <v>117</v>
      </c>
      <c r="G17" t="s">
        <v>49</v>
      </c>
      <c r="H17">
        <v>5</v>
      </c>
      <c r="I17">
        <v>2800</v>
      </c>
      <c r="J17" t="s">
        <v>49</v>
      </c>
      <c r="K17" t="s">
        <v>49</v>
      </c>
      <c r="L17">
        <v>3</v>
      </c>
    </row>
    <row r="18" spans="1:25" x14ac:dyDescent="0.25">
      <c r="A18" s="4">
        <v>45106</v>
      </c>
      <c r="B18" t="s">
        <v>1</v>
      </c>
      <c r="C18">
        <v>100</v>
      </c>
      <c r="D18">
        <v>6</v>
      </c>
      <c r="E18">
        <v>3</v>
      </c>
      <c r="F18" t="s">
        <v>118</v>
      </c>
      <c r="G18" t="s">
        <v>49</v>
      </c>
      <c r="H18">
        <v>5</v>
      </c>
      <c r="I18">
        <v>2800</v>
      </c>
      <c r="J18" t="s">
        <v>49</v>
      </c>
      <c r="K18" t="s">
        <v>49</v>
      </c>
      <c r="L18">
        <v>3</v>
      </c>
    </row>
    <row r="19" spans="1:25" x14ac:dyDescent="0.25">
      <c r="A19" s="4">
        <v>45106</v>
      </c>
      <c r="B19" t="s">
        <v>1</v>
      </c>
      <c r="C19">
        <v>100</v>
      </c>
      <c r="D19">
        <v>6</v>
      </c>
      <c r="E19">
        <v>2</v>
      </c>
      <c r="F19" t="s">
        <v>119</v>
      </c>
      <c r="G19" t="s">
        <v>49</v>
      </c>
      <c r="H19">
        <v>5</v>
      </c>
      <c r="I19">
        <v>2800</v>
      </c>
      <c r="J19" t="s">
        <v>49</v>
      </c>
      <c r="K19" t="s">
        <v>49</v>
      </c>
      <c r="L19">
        <v>3</v>
      </c>
    </row>
    <row r="20" spans="1:25" x14ac:dyDescent="0.25">
      <c r="A20" s="4">
        <v>45106</v>
      </c>
      <c r="B20" t="s">
        <v>1</v>
      </c>
      <c r="C20">
        <v>100</v>
      </c>
      <c r="D20">
        <v>6</v>
      </c>
      <c r="E20">
        <v>2</v>
      </c>
      <c r="F20" t="s">
        <v>120</v>
      </c>
      <c r="G20" t="s">
        <v>49</v>
      </c>
      <c r="H20">
        <v>5</v>
      </c>
      <c r="I20">
        <v>2800</v>
      </c>
      <c r="J20" t="s">
        <v>49</v>
      </c>
      <c r="K20" t="s">
        <v>49</v>
      </c>
      <c r="L20">
        <v>3</v>
      </c>
    </row>
    <row r="21" spans="1:25" x14ac:dyDescent="0.25">
      <c r="A21" s="4">
        <v>45106</v>
      </c>
      <c r="B21" t="s">
        <v>1</v>
      </c>
      <c r="C21">
        <v>100</v>
      </c>
      <c r="D21">
        <v>6</v>
      </c>
      <c r="E21">
        <v>1</v>
      </c>
      <c r="F21" t="s">
        <v>121</v>
      </c>
      <c r="G21" t="s">
        <v>49</v>
      </c>
      <c r="H21">
        <v>5</v>
      </c>
      <c r="I21">
        <v>2800</v>
      </c>
      <c r="J21" t="s">
        <v>49</v>
      </c>
      <c r="K21" t="s">
        <v>49</v>
      </c>
      <c r="L21">
        <v>3</v>
      </c>
    </row>
    <row r="22" spans="1:25" x14ac:dyDescent="0.25">
      <c r="A22" s="4">
        <v>45105</v>
      </c>
      <c r="B22" t="s">
        <v>1</v>
      </c>
      <c r="C22">
        <v>100</v>
      </c>
      <c r="D22">
        <v>7</v>
      </c>
      <c r="E22">
        <v>2</v>
      </c>
      <c r="F22" t="s">
        <v>99</v>
      </c>
      <c r="G22" t="s">
        <v>49</v>
      </c>
      <c r="H22">
        <v>5</v>
      </c>
      <c r="I22">
        <v>2800</v>
      </c>
      <c r="J22" t="s">
        <v>49</v>
      </c>
      <c r="K22" t="s">
        <v>49</v>
      </c>
      <c r="L22">
        <v>3</v>
      </c>
    </row>
    <row r="23" spans="1:25" x14ac:dyDescent="0.25">
      <c r="A23" s="4">
        <v>45105</v>
      </c>
      <c r="B23" t="s">
        <v>1</v>
      </c>
      <c r="C23">
        <v>100</v>
      </c>
      <c r="D23">
        <v>7</v>
      </c>
      <c r="E23">
        <v>3</v>
      </c>
      <c r="F23" t="s">
        <v>100</v>
      </c>
      <c r="G23" t="s">
        <v>49</v>
      </c>
      <c r="H23">
        <v>5</v>
      </c>
      <c r="I23">
        <v>2800</v>
      </c>
      <c r="J23" t="s">
        <v>49</v>
      </c>
      <c r="K23" t="s">
        <v>49</v>
      </c>
      <c r="L23">
        <v>3</v>
      </c>
    </row>
    <row r="24" spans="1:25" x14ac:dyDescent="0.25">
      <c r="A24" s="4">
        <v>45105</v>
      </c>
      <c r="B24" t="s">
        <v>1</v>
      </c>
      <c r="C24">
        <v>100</v>
      </c>
      <c r="D24">
        <v>7</v>
      </c>
      <c r="E24">
        <v>2</v>
      </c>
      <c r="F24" t="s">
        <v>101</v>
      </c>
      <c r="G24" t="s">
        <v>49</v>
      </c>
      <c r="H24">
        <v>5</v>
      </c>
      <c r="I24">
        <v>2800</v>
      </c>
      <c r="J24" t="s">
        <v>49</v>
      </c>
      <c r="K24" t="s">
        <v>49</v>
      </c>
      <c r="L24">
        <v>3</v>
      </c>
    </row>
    <row r="25" spans="1:25" x14ac:dyDescent="0.25">
      <c r="A25" s="4">
        <v>45105</v>
      </c>
      <c r="B25" t="s">
        <v>1</v>
      </c>
      <c r="C25">
        <v>100</v>
      </c>
      <c r="D25">
        <v>7</v>
      </c>
      <c r="E25">
        <v>3</v>
      </c>
      <c r="F25" t="s">
        <v>102</v>
      </c>
      <c r="G25" t="s">
        <v>49</v>
      </c>
      <c r="H25">
        <v>5</v>
      </c>
      <c r="I25">
        <v>2800</v>
      </c>
      <c r="J25" t="s">
        <v>49</v>
      </c>
      <c r="K25" t="s">
        <v>49</v>
      </c>
      <c r="L25">
        <v>3</v>
      </c>
    </row>
    <row r="26" spans="1:25" x14ac:dyDescent="0.25">
      <c r="A26" s="4">
        <v>45105</v>
      </c>
      <c r="B26" t="s">
        <v>1</v>
      </c>
      <c r="C26">
        <v>100</v>
      </c>
      <c r="D26">
        <v>7</v>
      </c>
      <c r="E26">
        <v>2</v>
      </c>
      <c r="F26" t="s">
        <v>103</v>
      </c>
      <c r="G26" t="s">
        <v>49</v>
      </c>
      <c r="H26">
        <v>5</v>
      </c>
      <c r="I26">
        <v>2800</v>
      </c>
      <c r="J26" t="s">
        <v>49</v>
      </c>
      <c r="K26" t="s">
        <v>49</v>
      </c>
      <c r="L26">
        <v>3</v>
      </c>
    </row>
    <row r="27" spans="1:25" x14ac:dyDescent="0.25">
      <c r="A27" s="4">
        <v>45105</v>
      </c>
      <c r="B27" t="s">
        <v>1</v>
      </c>
      <c r="C27">
        <v>100</v>
      </c>
      <c r="D27">
        <v>7</v>
      </c>
      <c r="E27">
        <v>2</v>
      </c>
      <c r="F27" t="s">
        <v>108</v>
      </c>
      <c r="G27" t="s">
        <v>49</v>
      </c>
      <c r="H27">
        <v>5</v>
      </c>
      <c r="I27">
        <v>2800</v>
      </c>
      <c r="J27" t="s">
        <v>49</v>
      </c>
      <c r="K27" t="s">
        <v>49</v>
      </c>
      <c r="L27">
        <v>3</v>
      </c>
    </row>
    <row r="28" spans="1:25" x14ac:dyDescent="0.25">
      <c r="A28" s="4">
        <v>45106</v>
      </c>
      <c r="B28" t="s">
        <v>1</v>
      </c>
      <c r="C28">
        <v>100</v>
      </c>
      <c r="D28">
        <v>7</v>
      </c>
      <c r="E28">
        <v>1</v>
      </c>
      <c r="F28" t="s">
        <v>109</v>
      </c>
      <c r="G28" t="s">
        <v>49</v>
      </c>
      <c r="H28">
        <v>5</v>
      </c>
      <c r="I28">
        <v>2800</v>
      </c>
      <c r="J28" t="s">
        <v>49</v>
      </c>
      <c r="K28" t="s">
        <v>49</v>
      </c>
      <c r="L28">
        <v>3</v>
      </c>
    </row>
    <row r="29" spans="1:25" x14ac:dyDescent="0.25">
      <c r="A29" s="4">
        <v>45106</v>
      </c>
      <c r="B29" t="s">
        <v>1</v>
      </c>
      <c r="C29">
        <v>100</v>
      </c>
      <c r="D29">
        <v>7</v>
      </c>
      <c r="E29">
        <v>3</v>
      </c>
      <c r="F29" t="s">
        <v>110</v>
      </c>
      <c r="G29" t="s">
        <v>49</v>
      </c>
      <c r="H29">
        <v>5</v>
      </c>
      <c r="I29">
        <v>2800</v>
      </c>
      <c r="J29" t="s">
        <v>49</v>
      </c>
      <c r="K29" t="s">
        <v>49</v>
      </c>
      <c r="L29">
        <v>3</v>
      </c>
    </row>
    <row r="30" spans="1:25" x14ac:dyDescent="0.25">
      <c r="A30" s="4">
        <v>45106</v>
      </c>
      <c r="B30" t="s">
        <v>1</v>
      </c>
      <c r="C30">
        <v>100</v>
      </c>
      <c r="D30">
        <v>7</v>
      </c>
      <c r="E30">
        <v>3</v>
      </c>
      <c r="F30" t="s">
        <v>111</v>
      </c>
      <c r="G30" t="s">
        <v>49</v>
      </c>
      <c r="H30">
        <v>5</v>
      </c>
      <c r="I30">
        <v>2800</v>
      </c>
      <c r="J30" t="s">
        <v>49</v>
      </c>
      <c r="K30" t="s">
        <v>49</v>
      </c>
      <c r="L30">
        <v>3</v>
      </c>
    </row>
    <row r="31" spans="1:25" x14ac:dyDescent="0.25">
      <c r="A31" s="4">
        <v>45106</v>
      </c>
      <c r="B31" t="s">
        <v>1</v>
      </c>
      <c r="C31">
        <v>100</v>
      </c>
      <c r="D31">
        <v>7</v>
      </c>
      <c r="E31">
        <v>1</v>
      </c>
      <c r="F31" t="s">
        <v>112</v>
      </c>
      <c r="G31" t="s">
        <v>49</v>
      </c>
      <c r="H31">
        <v>5</v>
      </c>
      <c r="I31">
        <v>2800</v>
      </c>
      <c r="J31" t="s">
        <v>49</v>
      </c>
      <c r="K31" t="s">
        <v>49</v>
      </c>
      <c r="L31">
        <v>3</v>
      </c>
    </row>
    <row r="32" spans="1:25" x14ac:dyDescent="0.25">
      <c r="A32" s="4">
        <v>45105</v>
      </c>
      <c r="B32" t="s">
        <v>1</v>
      </c>
      <c r="C32">
        <v>100</v>
      </c>
      <c r="D32">
        <v>8</v>
      </c>
      <c r="E32">
        <v>2</v>
      </c>
      <c r="F32" t="s">
        <v>89</v>
      </c>
      <c r="G32" t="s">
        <v>49</v>
      </c>
      <c r="H32">
        <v>5</v>
      </c>
      <c r="I32">
        <v>2800</v>
      </c>
      <c r="J32" t="s">
        <v>49</v>
      </c>
      <c r="K32" t="s">
        <v>49</v>
      </c>
      <c r="L32">
        <v>3</v>
      </c>
      <c r="N32" s="1" t="s">
        <v>47</v>
      </c>
      <c r="O32" s="1">
        <v>5</v>
      </c>
      <c r="P32" s="1">
        <v>6</v>
      </c>
      <c r="Q32" s="1">
        <v>7</v>
      </c>
      <c r="R32" s="1">
        <v>8</v>
      </c>
      <c r="S32" s="1">
        <v>9</v>
      </c>
      <c r="T32" s="1">
        <v>10</v>
      </c>
      <c r="U32" s="1">
        <v>11</v>
      </c>
      <c r="V32" s="1">
        <v>12</v>
      </c>
      <c r="W32" s="1">
        <v>13</v>
      </c>
      <c r="X32" s="1">
        <v>14</v>
      </c>
      <c r="Y32" s="1">
        <v>15</v>
      </c>
    </row>
    <row r="33" spans="1:25" x14ac:dyDescent="0.25">
      <c r="A33" s="4">
        <v>45105</v>
      </c>
      <c r="B33" t="s">
        <v>1</v>
      </c>
      <c r="C33">
        <v>100</v>
      </c>
      <c r="D33">
        <v>8</v>
      </c>
      <c r="E33">
        <v>3</v>
      </c>
      <c r="F33" t="s">
        <v>90</v>
      </c>
      <c r="G33" t="s">
        <v>49</v>
      </c>
      <c r="H33">
        <v>5</v>
      </c>
      <c r="I33">
        <v>2800</v>
      </c>
      <c r="J33" t="s">
        <v>49</v>
      </c>
      <c r="K33" t="s">
        <v>49</v>
      </c>
      <c r="L33">
        <v>3</v>
      </c>
      <c r="N33" s="12" t="s">
        <v>106</v>
      </c>
      <c r="O33" s="13">
        <v>1</v>
      </c>
      <c r="P33" s="13">
        <v>1</v>
      </c>
      <c r="Q33" s="13">
        <v>1</v>
      </c>
      <c r="R33" s="13">
        <v>1</v>
      </c>
      <c r="S33" s="13">
        <v>0.9</v>
      </c>
      <c r="T33" s="13">
        <v>1</v>
      </c>
      <c r="U33" s="13">
        <v>0.8</v>
      </c>
      <c r="V33" s="13">
        <v>0.8</v>
      </c>
      <c r="W33" s="13">
        <v>0.8</v>
      </c>
      <c r="X33" s="13">
        <v>0.3</v>
      </c>
      <c r="Y33" s="13">
        <v>0</v>
      </c>
    </row>
    <row r="34" spans="1:25" x14ac:dyDescent="0.25">
      <c r="A34" s="4">
        <v>45105</v>
      </c>
      <c r="B34" t="s">
        <v>1</v>
      </c>
      <c r="C34">
        <v>100</v>
      </c>
      <c r="D34">
        <v>8</v>
      </c>
      <c r="E34">
        <v>1</v>
      </c>
      <c r="F34" t="s">
        <v>91</v>
      </c>
      <c r="G34" t="s">
        <v>49</v>
      </c>
      <c r="H34">
        <v>5</v>
      </c>
      <c r="I34">
        <v>2800</v>
      </c>
      <c r="J34" t="s">
        <v>49</v>
      </c>
      <c r="K34" t="s">
        <v>49</v>
      </c>
      <c r="L34">
        <v>3</v>
      </c>
      <c r="N34" s="12" t="s">
        <v>107</v>
      </c>
      <c r="O34" s="13">
        <v>1</v>
      </c>
      <c r="P34" s="13">
        <v>0.7</v>
      </c>
      <c r="Q34" s="13">
        <v>0.9</v>
      </c>
      <c r="R34" s="13">
        <v>0.7</v>
      </c>
      <c r="S34" s="13">
        <v>0.9</v>
      </c>
      <c r="T34" s="13">
        <v>0.6</v>
      </c>
      <c r="U34" s="13">
        <v>0.3</v>
      </c>
      <c r="V34" s="13">
        <v>0.2</v>
      </c>
      <c r="W34" s="13">
        <v>0.3</v>
      </c>
      <c r="X34" s="13">
        <v>0</v>
      </c>
      <c r="Y34" s="13">
        <v>0</v>
      </c>
    </row>
    <row r="35" spans="1:25" x14ac:dyDescent="0.25">
      <c r="A35" s="4">
        <v>45105</v>
      </c>
      <c r="B35" t="s">
        <v>1</v>
      </c>
      <c r="C35">
        <v>100</v>
      </c>
      <c r="D35">
        <v>8</v>
      </c>
      <c r="E35">
        <v>2</v>
      </c>
      <c r="F35" t="s">
        <v>92</v>
      </c>
      <c r="G35" t="s">
        <v>49</v>
      </c>
      <c r="H35">
        <v>5</v>
      </c>
      <c r="I35">
        <v>2800</v>
      </c>
      <c r="J35" t="s">
        <v>49</v>
      </c>
      <c r="K35" t="s">
        <v>49</v>
      </c>
      <c r="L35">
        <v>3</v>
      </c>
    </row>
    <row r="36" spans="1:25" x14ac:dyDescent="0.25">
      <c r="A36" s="4">
        <v>45105</v>
      </c>
      <c r="B36" t="s">
        <v>1</v>
      </c>
      <c r="C36">
        <v>100</v>
      </c>
      <c r="D36">
        <v>8</v>
      </c>
      <c r="E36">
        <v>1</v>
      </c>
      <c r="F36" t="s">
        <v>93</v>
      </c>
      <c r="G36" t="s">
        <v>49</v>
      </c>
      <c r="H36">
        <v>5</v>
      </c>
      <c r="I36">
        <v>2800</v>
      </c>
      <c r="J36" t="s">
        <v>49</v>
      </c>
      <c r="K36" t="s">
        <v>49</v>
      </c>
      <c r="L36">
        <v>3</v>
      </c>
    </row>
    <row r="37" spans="1:25" x14ac:dyDescent="0.25">
      <c r="A37" s="4">
        <v>45105</v>
      </c>
      <c r="B37" t="s">
        <v>1</v>
      </c>
      <c r="C37">
        <v>100</v>
      </c>
      <c r="D37">
        <v>8</v>
      </c>
      <c r="E37">
        <v>2</v>
      </c>
      <c r="F37" t="s">
        <v>94</v>
      </c>
      <c r="G37" t="s">
        <v>49</v>
      </c>
      <c r="H37">
        <v>5</v>
      </c>
      <c r="I37">
        <v>2800</v>
      </c>
      <c r="J37" t="s">
        <v>49</v>
      </c>
      <c r="K37" t="s">
        <v>49</v>
      </c>
      <c r="L37">
        <v>3</v>
      </c>
    </row>
    <row r="38" spans="1:25" x14ac:dyDescent="0.25">
      <c r="A38" s="4">
        <v>45166</v>
      </c>
      <c r="B38" t="s">
        <v>1</v>
      </c>
      <c r="C38">
        <v>100</v>
      </c>
      <c r="D38">
        <v>8</v>
      </c>
      <c r="E38">
        <v>2</v>
      </c>
      <c r="F38" t="s">
        <v>95</v>
      </c>
      <c r="G38" t="s">
        <v>49</v>
      </c>
      <c r="H38">
        <v>5</v>
      </c>
      <c r="I38">
        <v>2800</v>
      </c>
      <c r="J38" t="s">
        <v>49</v>
      </c>
      <c r="K38" t="s">
        <v>49</v>
      </c>
      <c r="L38">
        <v>3</v>
      </c>
    </row>
    <row r="39" spans="1:25" x14ac:dyDescent="0.25">
      <c r="A39" s="4">
        <v>45166</v>
      </c>
      <c r="B39" t="s">
        <v>1</v>
      </c>
      <c r="C39">
        <v>100</v>
      </c>
      <c r="D39">
        <v>8</v>
      </c>
      <c r="E39">
        <v>2</v>
      </c>
      <c r="F39" t="s">
        <v>96</v>
      </c>
      <c r="G39" t="s">
        <v>49</v>
      </c>
      <c r="H39">
        <v>5</v>
      </c>
      <c r="I39">
        <v>2800</v>
      </c>
      <c r="J39" t="s">
        <v>49</v>
      </c>
      <c r="K39" t="s">
        <v>49</v>
      </c>
      <c r="L39">
        <v>3</v>
      </c>
    </row>
    <row r="40" spans="1:25" x14ac:dyDescent="0.25">
      <c r="A40" s="4">
        <v>45166</v>
      </c>
      <c r="B40" t="s">
        <v>1</v>
      </c>
      <c r="C40">
        <v>100</v>
      </c>
      <c r="D40">
        <v>8</v>
      </c>
      <c r="E40">
        <v>2</v>
      </c>
      <c r="F40" t="s">
        <v>97</v>
      </c>
      <c r="G40" t="s">
        <v>49</v>
      </c>
      <c r="H40">
        <v>5</v>
      </c>
      <c r="I40">
        <v>2800</v>
      </c>
      <c r="J40" t="s">
        <v>49</v>
      </c>
      <c r="K40" t="s">
        <v>49</v>
      </c>
      <c r="L40">
        <v>3</v>
      </c>
    </row>
    <row r="41" spans="1:25" x14ac:dyDescent="0.25">
      <c r="A41" s="4">
        <v>45166</v>
      </c>
      <c r="B41" t="s">
        <v>1</v>
      </c>
      <c r="C41">
        <v>100</v>
      </c>
      <c r="D41">
        <v>8</v>
      </c>
      <c r="E41">
        <v>1</v>
      </c>
      <c r="F41" t="s">
        <v>98</v>
      </c>
      <c r="G41" t="s">
        <v>49</v>
      </c>
      <c r="H41">
        <v>5</v>
      </c>
      <c r="I41">
        <v>2800</v>
      </c>
      <c r="J41" t="s">
        <v>49</v>
      </c>
      <c r="K41" t="s">
        <v>49</v>
      </c>
      <c r="L41">
        <v>3</v>
      </c>
    </row>
    <row r="42" spans="1:25" x14ac:dyDescent="0.25">
      <c r="A42" s="4">
        <v>45104</v>
      </c>
      <c r="B42" t="s">
        <v>1</v>
      </c>
      <c r="C42">
        <v>100</v>
      </c>
      <c r="D42">
        <v>9</v>
      </c>
      <c r="E42">
        <v>2</v>
      </c>
      <c r="F42" t="s">
        <v>79</v>
      </c>
      <c r="G42" t="s">
        <v>49</v>
      </c>
      <c r="H42">
        <v>5</v>
      </c>
      <c r="I42">
        <v>2800</v>
      </c>
      <c r="J42" t="s">
        <v>49</v>
      </c>
      <c r="K42" t="s">
        <v>49</v>
      </c>
      <c r="L42">
        <v>2</v>
      </c>
    </row>
    <row r="43" spans="1:25" x14ac:dyDescent="0.25">
      <c r="A43" s="4">
        <v>45104</v>
      </c>
      <c r="B43" t="s">
        <v>1</v>
      </c>
      <c r="C43">
        <v>100</v>
      </c>
      <c r="D43">
        <v>9</v>
      </c>
      <c r="E43">
        <v>2</v>
      </c>
      <c r="F43" t="s">
        <v>80</v>
      </c>
      <c r="G43" t="s">
        <v>49</v>
      </c>
      <c r="H43">
        <v>5</v>
      </c>
      <c r="I43">
        <v>2800</v>
      </c>
      <c r="J43" t="s">
        <v>49</v>
      </c>
      <c r="K43" t="s">
        <v>49</v>
      </c>
      <c r="L43">
        <v>2</v>
      </c>
    </row>
    <row r="44" spans="1:25" x14ac:dyDescent="0.25">
      <c r="A44" s="4">
        <v>45104</v>
      </c>
      <c r="B44" t="s">
        <v>1</v>
      </c>
      <c r="C44">
        <v>100</v>
      </c>
      <c r="D44">
        <v>9</v>
      </c>
      <c r="E44">
        <v>2</v>
      </c>
      <c r="F44" t="s">
        <v>81</v>
      </c>
      <c r="G44" t="s">
        <v>49</v>
      </c>
      <c r="H44">
        <v>5</v>
      </c>
      <c r="I44">
        <v>2800</v>
      </c>
      <c r="J44" t="s">
        <v>49</v>
      </c>
      <c r="K44" t="s">
        <v>49</v>
      </c>
      <c r="L44">
        <v>2</v>
      </c>
    </row>
    <row r="45" spans="1:25" x14ac:dyDescent="0.25">
      <c r="A45" s="4">
        <v>45104</v>
      </c>
      <c r="B45" t="s">
        <v>1</v>
      </c>
      <c r="C45">
        <v>100</v>
      </c>
      <c r="D45">
        <v>9</v>
      </c>
      <c r="E45">
        <v>2</v>
      </c>
      <c r="F45" t="s">
        <v>82</v>
      </c>
      <c r="G45" t="s">
        <v>49</v>
      </c>
      <c r="H45">
        <v>5</v>
      </c>
      <c r="I45">
        <v>2800</v>
      </c>
      <c r="J45" t="s">
        <v>49</v>
      </c>
      <c r="K45" t="s">
        <v>49</v>
      </c>
      <c r="L45">
        <v>2</v>
      </c>
    </row>
    <row r="46" spans="1:25" x14ac:dyDescent="0.25">
      <c r="A46" s="4">
        <v>45104</v>
      </c>
      <c r="B46" t="s">
        <v>1</v>
      </c>
      <c r="C46">
        <v>100</v>
      </c>
      <c r="D46">
        <v>9</v>
      </c>
      <c r="E46">
        <v>2</v>
      </c>
      <c r="F46" t="s">
        <v>83</v>
      </c>
      <c r="G46" t="s">
        <v>49</v>
      </c>
      <c r="H46">
        <v>5</v>
      </c>
      <c r="I46">
        <v>2800</v>
      </c>
      <c r="J46" t="s">
        <v>49</v>
      </c>
      <c r="K46" t="s">
        <v>49</v>
      </c>
      <c r="L46">
        <v>2</v>
      </c>
    </row>
    <row r="47" spans="1:25" x14ac:dyDescent="0.25">
      <c r="A47" s="4">
        <v>45104</v>
      </c>
      <c r="B47" t="s">
        <v>1</v>
      </c>
      <c r="C47">
        <v>100</v>
      </c>
      <c r="D47">
        <v>9</v>
      </c>
      <c r="E47">
        <v>3</v>
      </c>
      <c r="F47" t="s">
        <v>84</v>
      </c>
      <c r="G47" t="s">
        <v>49</v>
      </c>
      <c r="H47">
        <v>5</v>
      </c>
      <c r="I47">
        <v>2800</v>
      </c>
      <c r="J47" t="s">
        <v>49</v>
      </c>
      <c r="K47" t="s">
        <v>49</v>
      </c>
      <c r="L47">
        <v>3</v>
      </c>
    </row>
    <row r="48" spans="1:25" x14ac:dyDescent="0.25">
      <c r="A48" s="4">
        <v>45105</v>
      </c>
      <c r="B48" t="s">
        <v>1</v>
      </c>
      <c r="C48">
        <v>100</v>
      </c>
      <c r="D48">
        <v>9</v>
      </c>
      <c r="E48">
        <v>2</v>
      </c>
      <c r="F48" t="s">
        <v>85</v>
      </c>
      <c r="G48" t="s">
        <v>49</v>
      </c>
      <c r="H48">
        <v>5</v>
      </c>
      <c r="I48">
        <v>2800</v>
      </c>
      <c r="J48" t="s">
        <v>49</v>
      </c>
      <c r="K48" t="s">
        <v>49</v>
      </c>
      <c r="L48">
        <v>3</v>
      </c>
    </row>
    <row r="49" spans="1:15" x14ac:dyDescent="0.25">
      <c r="A49" s="4">
        <v>45105</v>
      </c>
      <c r="B49" t="s">
        <v>1</v>
      </c>
      <c r="C49">
        <v>100</v>
      </c>
      <c r="D49">
        <v>9</v>
      </c>
      <c r="E49">
        <v>2</v>
      </c>
      <c r="F49" t="s">
        <v>87</v>
      </c>
      <c r="G49" t="s">
        <v>49</v>
      </c>
      <c r="H49">
        <v>5</v>
      </c>
      <c r="I49">
        <v>2800</v>
      </c>
      <c r="J49" t="s">
        <v>49</v>
      </c>
      <c r="K49" t="s">
        <v>49</v>
      </c>
      <c r="L49">
        <v>2</v>
      </c>
    </row>
    <row r="50" spans="1:15" x14ac:dyDescent="0.25">
      <c r="A50" s="4">
        <v>45105</v>
      </c>
      <c r="B50" t="s">
        <v>1</v>
      </c>
      <c r="C50">
        <v>100</v>
      </c>
      <c r="D50">
        <v>9</v>
      </c>
      <c r="E50">
        <v>2</v>
      </c>
      <c r="F50" t="s">
        <v>88</v>
      </c>
      <c r="G50" t="s">
        <v>49</v>
      </c>
      <c r="H50">
        <v>5</v>
      </c>
      <c r="I50">
        <v>2800</v>
      </c>
      <c r="J50" t="s">
        <v>49</v>
      </c>
      <c r="K50" t="s">
        <v>49</v>
      </c>
      <c r="L50">
        <v>2</v>
      </c>
    </row>
    <row r="51" spans="1:15" x14ac:dyDescent="0.25">
      <c r="A51" s="4">
        <v>45105</v>
      </c>
      <c r="B51" t="s">
        <v>1</v>
      </c>
      <c r="C51">
        <v>100</v>
      </c>
      <c r="D51">
        <v>9</v>
      </c>
      <c r="E51">
        <v>0</v>
      </c>
      <c r="F51" t="s">
        <v>6</v>
      </c>
      <c r="G51" t="s">
        <v>49</v>
      </c>
      <c r="H51">
        <v>5</v>
      </c>
      <c r="I51">
        <v>2800</v>
      </c>
      <c r="J51" t="s">
        <v>49</v>
      </c>
      <c r="K51" t="s">
        <v>49</v>
      </c>
      <c r="L51">
        <v>2</v>
      </c>
    </row>
    <row r="52" spans="1:15" x14ac:dyDescent="0.25">
      <c r="A52" s="4">
        <v>45098</v>
      </c>
      <c r="B52" t="s">
        <v>1</v>
      </c>
      <c r="C52">
        <v>100</v>
      </c>
      <c r="D52">
        <v>10</v>
      </c>
      <c r="E52">
        <v>1</v>
      </c>
      <c r="F52" t="s">
        <v>37</v>
      </c>
      <c r="G52" t="s">
        <v>49</v>
      </c>
      <c r="H52" s="11">
        <v>10</v>
      </c>
      <c r="I52">
        <v>2800</v>
      </c>
      <c r="J52" t="s">
        <v>49</v>
      </c>
      <c r="K52" t="s">
        <v>49</v>
      </c>
      <c r="L52">
        <v>2</v>
      </c>
      <c r="O52" s="10" t="s">
        <v>20</v>
      </c>
    </row>
    <row r="53" spans="1:15" x14ac:dyDescent="0.25">
      <c r="A53" s="4">
        <v>45098</v>
      </c>
      <c r="B53" t="s">
        <v>1</v>
      </c>
      <c r="C53">
        <v>100</v>
      </c>
      <c r="D53">
        <v>10</v>
      </c>
      <c r="E53">
        <v>2</v>
      </c>
      <c r="F53" t="s">
        <v>38</v>
      </c>
      <c r="G53" t="s">
        <v>49</v>
      </c>
      <c r="H53">
        <v>5</v>
      </c>
      <c r="I53">
        <v>2800</v>
      </c>
      <c r="J53" t="s">
        <v>49</v>
      </c>
      <c r="K53" t="s">
        <v>49</v>
      </c>
      <c r="L53">
        <v>2</v>
      </c>
      <c r="O53" t="s">
        <v>36</v>
      </c>
    </row>
    <row r="54" spans="1:15" x14ac:dyDescent="0.25">
      <c r="A54" s="4">
        <v>45098</v>
      </c>
      <c r="B54" t="s">
        <v>1</v>
      </c>
      <c r="C54">
        <v>100</v>
      </c>
      <c r="D54">
        <v>10</v>
      </c>
      <c r="E54">
        <v>2</v>
      </c>
      <c r="F54" t="s">
        <v>39</v>
      </c>
      <c r="G54" t="s">
        <v>49</v>
      </c>
      <c r="H54">
        <v>5</v>
      </c>
      <c r="I54">
        <v>2800</v>
      </c>
      <c r="J54" t="s">
        <v>49</v>
      </c>
      <c r="K54" t="s">
        <v>49</v>
      </c>
      <c r="L54">
        <v>2</v>
      </c>
      <c r="O54" t="s">
        <v>60</v>
      </c>
    </row>
    <row r="55" spans="1:15" x14ac:dyDescent="0.25">
      <c r="A55" s="4">
        <v>45098</v>
      </c>
      <c r="B55" t="s">
        <v>1</v>
      </c>
      <c r="C55">
        <v>100</v>
      </c>
      <c r="D55">
        <v>10</v>
      </c>
      <c r="E55">
        <v>2</v>
      </c>
      <c r="F55" t="s">
        <v>40</v>
      </c>
      <c r="G55" t="s">
        <v>49</v>
      </c>
      <c r="H55">
        <v>5</v>
      </c>
      <c r="I55">
        <v>2800</v>
      </c>
      <c r="J55" t="s">
        <v>49</v>
      </c>
      <c r="K55" t="s">
        <v>49</v>
      </c>
      <c r="L55">
        <v>2</v>
      </c>
      <c r="O55" t="s">
        <v>70</v>
      </c>
    </row>
    <row r="56" spans="1:15" x14ac:dyDescent="0.25">
      <c r="A56" s="4">
        <v>45098</v>
      </c>
      <c r="B56" t="s">
        <v>1</v>
      </c>
      <c r="C56">
        <v>100</v>
      </c>
      <c r="D56">
        <v>10</v>
      </c>
      <c r="E56">
        <v>2</v>
      </c>
      <c r="F56" t="s">
        <v>41</v>
      </c>
      <c r="G56" t="s">
        <v>49</v>
      </c>
      <c r="H56">
        <v>5</v>
      </c>
      <c r="I56">
        <v>2800</v>
      </c>
      <c r="J56" t="s">
        <v>49</v>
      </c>
      <c r="K56" t="s">
        <v>49</v>
      </c>
      <c r="L56">
        <v>2</v>
      </c>
    </row>
    <row r="57" spans="1:15" x14ac:dyDescent="0.25">
      <c r="A57" s="4">
        <v>45098</v>
      </c>
      <c r="B57" t="s">
        <v>1</v>
      </c>
      <c r="C57">
        <v>100</v>
      </c>
      <c r="D57">
        <v>10</v>
      </c>
      <c r="E57">
        <v>1</v>
      </c>
      <c r="F57" t="s">
        <v>42</v>
      </c>
      <c r="G57" t="s">
        <v>49</v>
      </c>
      <c r="H57">
        <v>5</v>
      </c>
      <c r="I57">
        <v>2800</v>
      </c>
      <c r="J57" t="s">
        <v>49</v>
      </c>
      <c r="K57" t="s">
        <v>49</v>
      </c>
      <c r="L57">
        <v>2</v>
      </c>
    </row>
    <row r="58" spans="1:15" x14ac:dyDescent="0.25">
      <c r="A58" s="4">
        <v>45098</v>
      </c>
      <c r="B58" t="s">
        <v>1</v>
      </c>
      <c r="C58">
        <v>100</v>
      </c>
      <c r="D58">
        <v>10</v>
      </c>
      <c r="E58">
        <v>2</v>
      </c>
      <c r="F58" t="s">
        <v>50</v>
      </c>
      <c r="G58" t="s">
        <v>49</v>
      </c>
      <c r="H58">
        <v>5</v>
      </c>
      <c r="I58">
        <v>2800</v>
      </c>
      <c r="J58" t="s">
        <v>49</v>
      </c>
      <c r="K58" t="s">
        <v>49</v>
      </c>
      <c r="L58">
        <v>2</v>
      </c>
    </row>
    <row r="59" spans="1:15" x14ac:dyDescent="0.25">
      <c r="A59" s="4">
        <v>45098</v>
      </c>
      <c r="B59" t="s">
        <v>1</v>
      </c>
      <c r="C59">
        <v>100</v>
      </c>
      <c r="D59">
        <v>10</v>
      </c>
      <c r="E59">
        <v>1</v>
      </c>
      <c r="F59" t="s">
        <v>51</v>
      </c>
      <c r="G59" t="s">
        <v>49</v>
      </c>
      <c r="H59">
        <v>5</v>
      </c>
      <c r="I59">
        <v>2800</v>
      </c>
      <c r="J59" t="s">
        <v>49</v>
      </c>
      <c r="K59" t="s">
        <v>49</v>
      </c>
      <c r="L59">
        <v>2</v>
      </c>
    </row>
    <row r="60" spans="1:15" x14ac:dyDescent="0.25">
      <c r="A60" s="4">
        <v>45099</v>
      </c>
      <c r="B60" t="s">
        <v>1</v>
      </c>
      <c r="C60">
        <v>100</v>
      </c>
      <c r="D60">
        <v>10</v>
      </c>
      <c r="E60">
        <v>1</v>
      </c>
      <c r="F60" t="s">
        <v>52</v>
      </c>
      <c r="G60" t="s">
        <v>49</v>
      </c>
      <c r="H60">
        <v>5</v>
      </c>
      <c r="I60">
        <v>2800</v>
      </c>
      <c r="J60" t="s">
        <v>49</v>
      </c>
      <c r="K60" t="s">
        <v>49</v>
      </c>
      <c r="L60">
        <v>2</v>
      </c>
    </row>
    <row r="61" spans="1:15" x14ac:dyDescent="0.25">
      <c r="A61" s="4">
        <v>45099</v>
      </c>
      <c r="B61" t="s">
        <v>1</v>
      </c>
      <c r="C61">
        <v>100</v>
      </c>
      <c r="D61">
        <v>10</v>
      </c>
      <c r="E61">
        <v>1</v>
      </c>
      <c r="F61" t="s">
        <v>52</v>
      </c>
      <c r="G61" t="s">
        <v>49</v>
      </c>
      <c r="H61">
        <v>5</v>
      </c>
      <c r="I61">
        <v>2800</v>
      </c>
      <c r="J61" t="s">
        <v>49</v>
      </c>
      <c r="K61" t="s">
        <v>49</v>
      </c>
      <c r="L61">
        <v>2</v>
      </c>
    </row>
    <row r="62" spans="1:15" x14ac:dyDescent="0.25">
      <c r="A62" s="4">
        <v>45099</v>
      </c>
      <c r="B62" t="s">
        <v>1</v>
      </c>
      <c r="C62">
        <v>100</v>
      </c>
      <c r="D62">
        <v>10</v>
      </c>
      <c r="E62">
        <v>2</v>
      </c>
      <c r="F62" t="s">
        <v>53</v>
      </c>
      <c r="G62" t="s">
        <v>49</v>
      </c>
      <c r="H62">
        <v>5</v>
      </c>
      <c r="I62">
        <v>2800</v>
      </c>
      <c r="J62" t="s">
        <v>49</v>
      </c>
      <c r="K62" t="s">
        <v>49</v>
      </c>
      <c r="L62">
        <v>2</v>
      </c>
    </row>
    <row r="63" spans="1:15" x14ac:dyDescent="0.25">
      <c r="A63" s="4">
        <v>45103</v>
      </c>
      <c r="B63" t="s">
        <v>1</v>
      </c>
      <c r="C63">
        <v>100</v>
      </c>
      <c r="D63">
        <v>11</v>
      </c>
      <c r="E63">
        <v>1</v>
      </c>
      <c r="F63" t="s">
        <v>64</v>
      </c>
      <c r="G63" t="s">
        <v>49</v>
      </c>
      <c r="H63">
        <v>5</v>
      </c>
      <c r="I63">
        <v>2800</v>
      </c>
      <c r="J63" t="s">
        <v>49</v>
      </c>
      <c r="K63" t="s">
        <v>49</v>
      </c>
      <c r="L63">
        <v>2</v>
      </c>
    </row>
    <row r="64" spans="1:15" x14ac:dyDescent="0.25">
      <c r="A64" s="4">
        <v>45103</v>
      </c>
      <c r="B64" t="s">
        <v>1</v>
      </c>
      <c r="C64">
        <v>100</v>
      </c>
      <c r="D64">
        <v>11</v>
      </c>
      <c r="E64">
        <v>0</v>
      </c>
      <c r="F64" t="s">
        <v>6</v>
      </c>
      <c r="G64" t="s">
        <v>49</v>
      </c>
      <c r="H64">
        <v>5</v>
      </c>
      <c r="I64">
        <v>2800</v>
      </c>
      <c r="J64" t="s">
        <v>49</v>
      </c>
      <c r="K64" t="s">
        <v>49</v>
      </c>
      <c r="L64">
        <v>2</v>
      </c>
    </row>
    <row r="65" spans="1:12" x14ac:dyDescent="0.25">
      <c r="A65" s="4">
        <v>45103</v>
      </c>
      <c r="B65" t="s">
        <v>1</v>
      </c>
      <c r="C65">
        <v>100</v>
      </c>
      <c r="D65">
        <v>11</v>
      </c>
      <c r="E65">
        <v>1</v>
      </c>
      <c r="F65" t="s">
        <v>65</v>
      </c>
      <c r="G65" t="s">
        <v>49</v>
      </c>
      <c r="H65">
        <v>5</v>
      </c>
      <c r="I65">
        <v>2800</v>
      </c>
      <c r="J65" t="s">
        <v>49</v>
      </c>
      <c r="K65" t="s">
        <v>49</v>
      </c>
      <c r="L65">
        <v>2</v>
      </c>
    </row>
    <row r="66" spans="1:12" x14ac:dyDescent="0.25">
      <c r="A66" s="4">
        <v>45103</v>
      </c>
      <c r="B66" t="s">
        <v>1</v>
      </c>
      <c r="C66">
        <v>100</v>
      </c>
      <c r="D66">
        <v>11</v>
      </c>
      <c r="E66">
        <v>1</v>
      </c>
      <c r="F66" t="s">
        <v>66</v>
      </c>
      <c r="G66" t="s">
        <v>49</v>
      </c>
      <c r="H66">
        <v>5</v>
      </c>
      <c r="I66">
        <v>2800</v>
      </c>
      <c r="J66" t="s">
        <v>49</v>
      </c>
      <c r="K66" t="s">
        <v>49</v>
      </c>
      <c r="L66">
        <v>2</v>
      </c>
    </row>
    <row r="67" spans="1:12" x14ac:dyDescent="0.25">
      <c r="A67" s="4">
        <v>45103</v>
      </c>
      <c r="B67" t="s">
        <v>1</v>
      </c>
      <c r="C67">
        <v>100</v>
      </c>
      <c r="D67">
        <v>11</v>
      </c>
      <c r="E67">
        <v>0</v>
      </c>
      <c r="F67" t="s">
        <v>6</v>
      </c>
      <c r="G67" t="s">
        <v>49</v>
      </c>
      <c r="H67">
        <v>5</v>
      </c>
      <c r="I67">
        <v>2800</v>
      </c>
      <c r="J67" t="s">
        <v>49</v>
      </c>
      <c r="K67" t="s">
        <v>49</v>
      </c>
      <c r="L67">
        <v>2</v>
      </c>
    </row>
    <row r="68" spans="1:12" x14ac:dyDescent="0.25">
      <c r="A68" s="4">
        <v>45103</v>
      </c>
      <c r="B68" t="s">
        <v>1</v>
      </c>
      <c r="C68">
        <v>100</v>
      </c>
      <c r="D68">
        <v>11</v>
      </c>
      <c r="E68">
        <v>2</v>
      </c>
      <c r="F68" t="s">
        <v>67</v>
      </c>
      <c r="G68" t="s">
        <v>49</v>
      </c>
      <c r="H68">
        <v>5</v>
      </c>
      <c r="I68">
        <v>2800</v>
      </c>
      <c r="J68" t="s">
        <v>49</v>
      </c>
      <c r="K68" t="s">
        <v>49</v>
      </c>
      <c r="L68">
        <v>2</v>
      </c>
    </row>
    <row r="69" spans="1:12" x14ac:dyDescent="0.25">
      <c r="A69" s="4">
        <v>45104</v>
      </c>
      <c r="B69" t="s">
        <v>1</v>
      </c>
      <c r="C69">
        <v>100</v>
      </c>
      <c r="D69">
        <v>11</v>
      </c>
      <c r="E69">
        <v>2</v>
      </c>
      <c r="F69" t="s">
        <v>69</v>
      </c>
      <c r="G69" t="s">
        <v>49</v>
      </c>
      <c r="H69">
        <v>5</v>
      </c>
      <c r="I69">
        <v>2800</v>
      </c>
      <c r="J69" t="s">
        <v>49</v>
      </c>
      <c r="K69" t="s">
        <v>49</v>
      </c>
      <c r="L69">
        <v>2</v>
      </c>
    </row>
    <row r="70" spans="1:12" x14ac:dyDescent="0.25">
      <c r="A70" s="4">
        <v>45104</v>
      </c>
      <c r="B70" t="s">
        <v>1</v>
      </c>
      <c r="C70">
        <v>100</v>
      </c>
      <c r="D70">
        <v>11</v>
      </c>
      <c r="E70">
        <v>2</v>
      </c>
      <c r="F70" t="s">
        <v>71</v>
      </c>
      <c r="G70" t="s">
        <v>49</v>
      </c>
      <c r="H70">
        <v>5</v>
      </c>
      <c r="I70">
        <v>2800</v>
      </c>
      <c r="J70" t="s">
        <v>49</v>
      </c>
      <c r="K70" t="s">
        <v>49</v>
      </c>
      <c r="L70">
        <v>2</v>
      </c>
    </row>
    <row r="71" spans="1:12" x14ac:dyDescent="0.25">
      <c r="A71" s="4">
        <v>45104</v>
      </c>
      <c r="B71" t="s">
        <v>1</v>
      </c>
      <c r="C71">
        <v>100</v>
      </c>
      <c r="D71">
        <v>11</v>
      </c>
      <c r="E71">
        <v>1</v>
      </c>
      <c r="F71" t="s">
        <v>72</v>
      </c>
      <c r="G71" t="s">
        <v>49</v>
      </c>
      <c r="H71">
        <v>5</v>
      </c>
      <c r="I71">
        <v>2800</v>
      </c>
      <c r="J71" t="s">
        <v>49</v>
      </c>
      <c r="K71" t="s">
        <v>49</v>
      </c>
      <c r="L71">
        <v>2</v>
      </c>
    </row>
    <row r="72" spans="1:12" x14ac:dyDescent="0.25">
      <c r="A72" s="4">
        <v>45104</v>
      </c>
      <c r="B72" t="s">
        <v>1</v>
      </c>
      <c r="C72">
        <v>100</v>
      </c>
      <c r="D72">
        <v>11</v>
      </c>
      <c r="E72">
        <v>1</v>
      </c>
      <c r="F72" t="s">
        <v>65</v>
      </c>
      <c r="G72" t="s">
        <v>49</v>
      </c>
      <c r="H72">
        <v>5</v>
      </c>
      <c r="I72">
        <v>2800</v>
      </c>
      <c r="J72" t="s">
        <v>49</v>
      </c>
      <c r="K72" t="s">
        <v>49</v>
      </c>
      <c r="L72">
        <v>2</v>
      </c>
    </row>
    <row r="73" spans="1:12" x14ac:dyDescent="0.25">
      <c r="A73" s="4">
        <v>45104</v>
      </c>
      <c r="B73" t="s">
        <v>1</v>
      </c>
      <c r="C73">
        <v>100</v>
      </c>
      <c r="D73">
        <v>12</v>
      </c>
      <c r="E73">
        <v>1</v>
      </c>
      <c r="F73" t="s">
        <v>57</v>
      </c>
      <c r="G73" t="s">
        <v>49</v>
      </c>
      <c r="H73">
        <v>5</v>
      </c>
      <c r="I73">
        <v>2800</v>
      </c>
      <c r="J73" t="s">
        <v>49</v>
      </c>
      <c r="K73" t="s">
        <v>49</v>
      </c>
      <c r="L73">
        <v>2</v>
      </c>
    </row>
    <row r="74" spans="1:12" x14ac:dyDescent="0.25">
      <c r="A74" s="4">
        <v>45104</v>
      </c>
      <c r="B74" t="s">
        <v>1</v>
      </c>
      <c r="C74">
        <v>100</v>
      </c>
      <c r="D74">
        <v>12</v>
      </c>
      <c r="E74">
        <v>1</v>
      </c>
      <c r="F74" t="s">
        <v>59</v>
      </c>
      <c r="G74" t="s">
        <v>49</v>
      </c>
      <c r="H74">
        <v>5</v>
      </c>
      <c r="I74">
        <v>2800</v>
      </c>
      <c r="J74" t="s">
        <v>49</v>
      </c>
      <c r="K74" t="s">
        <v>49</v>
      </c>
      <c r="L74">
        <v>2</v>
      </c>
    </row>
    <row r="75" spans="1:12" x14ac:dyDescent="0.25">
      <c r="A75" s="4">
        <v>45104</v>
      </c>
      <c r="B75" t="s">
        <v>1</v>
      </c>
      <c r="C75">
        <v>100</v>
      </c>
      <c r="D75">
        <v>12</v>
      </c>
      <c r="E75">
        <v>0</v>
      </c>
      <c r="F75" t="s">
        <v>6</v>
      </c>
      <c r="G75" t="s">
        <v>49</v>
      </c>
      <c r="H75">
        <v>5</v>
      </c>
      <c r="I75">
        <v>2800</v>
      </c>
      <c r="J75" t="s">
        <v>49</v>
      </c>
      <c r="K75" t="s">
        <v>49</v>
      </c>
      <c r="L75">
        <v>2</v>
      </c>
    </row>
    <row r="76" spans="1:12" x14ac:dyDescent="0.25">
      <c r="A76" s="4">
        <v>45104</v>
      </c>
      <c r="B76" t="s">
        <v>1</v>
      </c>
      <c r="C76">
        <v>100</v>
      </c>
      <c r="D76">
        <v>12</v>
      </c>
      <c r="E76">
        <v>2</v>
      </c>
      <c r="F76" t="s">
        <v>73</v>
      </c>
      <c r="G76" t="s">
        <v>49</v>
      </c>
      <c r="H76">
        <v>5</v>
      </c>
      <c r="I76">
        <v>2800</v>
      </c>
      <c r="J76" t="s">
        <v>49</v>
      </c>
      <c r="K76" t="s">
        <v>49</v>
      </c>
      <c r="L76">
        <v>2</v>
      </c>
    </row>
    <row r="77" spans="1:12" x14ac:dyDescent="0.25">
      <c r="A77" s="4">
        <v>45104</v>
      </c>
      <c r="B77" t="s">
        <v>1</v>
      </c>
      <c r="C77">
        <v>100</v>
      </c>
      <c r="D77">
        <v>12</v>
      </c>
      <c r="E77">
        <v>0</v>
      </c>
      <c r="F77" t="s">
        <v>6</v>
      </c>
      <c r="G77" t="s">
        <v>49</v>
      </c>
      <c r="H77">
        <v>5</v>
      </c>
      <c r="I77">
        <v>2800</v>
      </c>
      <c r="J77" t="s">
        <v>49</v>
      </c>
      <c r="K77" t="s">
        <v>49</v>
      </c>
      <c r="L77">
        <v>2</v>
      </c>
    </row>
    <row r="78" spans="1:12" x14ac:dyDescent="0.25">
      <c r="A78" s="4">
        <v>45104</v>
      </c>
      <c r="B78" t="s">
        <v>1</v>
      </c>
      <c r="C78">
        <v>100</v>
      </c>
      <c r="D78">
        <v>12</v>
      </c>
      <c r="E78">
        <v>1</v>
      </c>
      <c r="F78" t="s">
        <v>74</v>
      </c>
      <c r="G78" t="s">
        <v>49</v>
      </c>
      <c r="H78">
        <v>5</v>
      </c>
      <c r="I78">
        <v>2800</v>
      </c>
      <c r="J78" t="s">
        <v>49</v>
      </c>
      <c r="K78" t="s">
        <v>49</v>
      </c>
      <c r="L78">
        <v>2</v>
      </c>
    </row>
    <row r="79" spans="1:12" x14ac:dyDescent="0.25">
      <c r="A79" s="4">
        <v>45104</v>
      </c>
      <c r="B79" t="s">
        <v>1</v>
      </c>
      <c r="C79">
        <v>100</v>
      </c>
      <c r="D79">
        <v>12</v>
      </c>
      <c r="E79">
        <v>1</v>
      </c>
      <c r="F79" t="s">
        <v>75</v>
      </c>
      <c r="G79" t="s">
        <v>49</v>
      </c>
      <c r="H79">
        <v>5</v>
      </c>
      <c r="I79">
        <v>2800</v>
      </c>
      <c r="J79" t="s">
        <v>49</v>
      </c>
      <c r="K79" t="s">
        <v>49</v>
      </c>
      <c r="L79">
        <v>2</v>
      </c>
    </row>
    <row r="80" spans="1:12" x14ac:dyDescent="0.25">
      <c r="A80" s="4">
        <v>45104</v>
      </c>
      <c r="B80" t="s">
        <v>1</v>
      </c>
      <c r="C80">
        <v>100</v>
      </c>
      <c r="D80">
        <v>12</v>
      </c>
      <c r="E80">
        <v>1</v>
      </c>
      <c r="F80" t="s">
        <v>76</v>
      </c>
      <c r="G80" t="s">
        <v>49</v>
      </c>
      <c r="H80">
        <v>5</v>
      </c>
      <c r="I80">
        <v>2800</v>
      </c>
      <c r="J80" t="s">
        <v>49</v>
      </c>
      <c r="K80" t="s">
        <v>49</v>
      </c>
      <c r="L80">
        <v>2</v>
      </c>
    </row>
    <row r="81" spans="1:12" x14ac:dyDescent="0.25">
      <c r="A81" s="4">
        <v>45104</v>
      </c>
      <c r="B81" t="s">
        <v>1</v>
      </c>
      <c r="C81">
        <v>100</v>
      </c>
      <c r="D81">
        <v>12</v>
      </c>
      <c r="E81">
        <v>2</v>
      </c>
      <c r="F81" t="s">
        <v>77</v>
      </c>
      <c r="G81" t="s">
        <v>49</v>
      </c>
      <c r="H81">
        <v>5</v>
      </c>
      <c r="I81">
        <v>2800</v>
      </c>
      <c r="J81" t="s">
        <v>49</v>
      </c>
      <c r="K81" t="s">
        <v>49</v>
      </c>
      <c r="L81">
        <v>2</v>
      </c>
    </row>
    <row r="82" spans="1:12" x14ac:dyDescent="0.25">
      <c r="A82" s="4">
        <v>45104</v>
      </c>
      <c r="B82" t="s">
        <v>1</v>
      </c>
      <c r="C82">
        <v>100</v>
      </c>
      <c r="D82">
        <v>12</v>
      </c>
      <c r="E82">
        <v>1</v>
      </c>
      <c r="F82" t="s">
        <v>78</v>
      </c>
      <c r="G82" t="s">
        <v>49</v>
      </c>
      <c r="H82">
        <v>5</v>
      </c>
      <c r="I82">
        <v>2800</v>
      </c>
      <c r="J82" t="s">
        <v>49</v>
      </c>
      <c r="K82" t="s">
        <v>49</v>
      </c>
      <c r="L82">
        <v>2</v>
      </c>
    </row>
    <row r="83" spans="1:12" x14ac:dyDescent="0.25">
      <c r="A83" s="4">
        <v>45100</v>
      </c>
      <c r="B83" t="s">
        <v>1</v>
      </c>
      <c r="C83">
        <v>100</v>
      </c>
      <c r="D83">
        <v>13</v>
      </c>
      <c r="E83">
        <v>1</v>
      </c>
      <c r="F83" t="s">
        <v>55</v>
      </c>
      <c r="G83" t="s">
        <v>49</v>
      </c>
      <c r="H83">
        <v>5</v>
      </c>
      <c r="I83">
        <v>2800</v>
      </c>
      <c r="J83" t="s">
        <v>49</v>
      </c>
      <c r="K83" t="s">
        <v>49</v>
      </c>
      <c r="L83">
        <v>2</v>
      </c>
    </row>
    <row r="84" spans="1:12" x14ac:dyDescent="0.25">
      <c r="A84" s="4">
        <v>45100</v>
      </c>
      <c r="B84" t="s">
        <v>1</v>
      </c>
      <c r="C84">
        <v>100</v>
      </c>
      <c r="D84">
        <v>13</v>
      </c>
      <c r="E84">
        <v>2</v>
      </c>
      <c r="F84" t="s">
        <v>56</v>
      </c>
      <c r="G84" t="s">
        <v>49</v>
      </c>
      <c r="H84">
        <v>5</v>
      </c>
      <c r="I84">
        <v>2800</v>
      </c>
      <c r="J84" t="s">
        <v>49</v>
      </c>
      <c r="K84" t="s">
        <v>49</v>
      </c>
      <c r="L84">
        <v>2</v>
      </c>
    </row>
    <row r="85" spans="1:12" x14ac:dyDescent="0.25">
      <c r="A85" s="4">
        <v>45100</v>
      </c>
      <c r="B85" t="s">
        <v>1</v>
      </c>
      <c r="C85">
        <v>100</v>
      </c>
      <c r="D85">
        <v>13</v>
      </c>
      <c r="E85">
        <v>1</v>
      </c>
      <c r="F85" t="s">
        <v>57</v>
      </c>
      <c r="G85" t="s">
        <v>49</v>
      </c>
      <c r="H85">
        <v>5</v>
      </c>
      <c r="I85">
        <v>2800</v>
      </c>
      <c r="J85" t="s">
        <v>49</v>
      </c>
      <c r="K85" t="s">
        <v>49</v>
      </c>
      <c r="L85">
        <v>2</v>
      </c>
    </row>
    <row r="86" spans="1:12" x14ac:dyDescent="0.25">
      <c r="A86" s="4">
        <v>45100</v>
      </c>
      <c r="B86" t="s">
        <v>1</v>
      </c>
      <c r="C86">
        <v>100</v>
      </c>
      <c r="D86">
        <v>13</v>
      </c>
      <c r="E86">
        <v>0</v>
      </c>
      <c r="F86" t="s">
        <v>6</v>
      </c>
      <c r="G86" t="s">
        <v>49</v>
      </c>
      <c r="H86">
        <v>5</v>
      </c>
      <c r="I86">
        <v>2800</v>
      </c>
      <c r="J86" t="s">
        <v>49</v>
      </c>
      <c r="K86" t="s">
        <v>49</v>
      </c>
      <c r="L86">
        <v>2</v>
      </c>
    </row>
    <row r="87" spans="1:12" x14ac:dyDescent="0.25">
      <c r="A87" s="4">
        <v>45100</v>
      </c>
      <c r="B87" t="s">
        <v>1</v>
      </c>
      <c r="C87">
        <v>100</v>
      </c>
      <c r="D87">
        <v>13</v>
      </c>
      <c r="E87">
        <v>2</v>
      </c>
      <c r="F87" t="s">
        <v>58</v>
      </c>
      <c r="G87" t="s">
        <v>49</v>
      </c>
      <c r="H87">
        <v>5</v>
      </c>
      <c r="I87">
        <v>2800</v>
      </c>
      <c r="J87" t="s">
        <v>49</v>
      </c>
      <c r="K87" t="s">
        <v>49</v>
      </c>
      <c r="L87">
        <v>2</v>
      </c>
    </row>
    <row r="88" spans="1:12" x14ac:dyDescent="0.25">
      <c r="A88" s="4">
        <v>45100</v>
      </c>
      <c r="B88" t="s">
        <v>1</v>
      </c>
      <c r="C88">
        <v>100</v>
      </c>
      <c r="D88">
        <v>13</v>
      </c>
      <c r="E88">
        <v>0</v>
      </c>
      <c r="F88" t="s">
        <v>6</v>
      </c>
      <c r="G88" t="s">
        <v>49</v>
      </c>
      <c r="H88">
        <v>5</v>
      </c>
      <c r="I88">
        <v>2800</v>
      </c>
      <c r="J88" t="s">
        <v>49</v>
      </c>
      <c r="K88" t="s">
        <v>49</v>
      </c>
      <c r="L88">
        <v>2</v>
      </c>
    </row>
    <row r="89" spans="1:12" x14ac:dyDescent="0.25">
      <c r="A89" s="4">
        <v>45100</v>
      </c>
      <c r="B89" t="s">
        <v>1</v>
      </c>
      <c r="C89">
        <v>100</v>
      </c>
      <c r="D89">
        <v>13</v>
      </c>
      <c r="E89">
        <v>1</v>
      </c>
      <c r="F89" t="s">
        <v>59</v>
      </c>
      <c r="G89" t="s">
        <v>49</v>
      </c>
      <c r="H89">
        <v>5</v>
      </c>
      <c r="I89">
        <v>2800</v>
      </c>
      <c r="J89" t="s">
        <v>49</v>
      </c>
      <c r="K89" t="s">
        <v>49</v>
      </c>
      <c r="L89">
        <v>2</v>
      </c>
    </row>
    <row r="90" spans="1:12" x14ac:dyDescent="0.25">
      <c r="A90" s="4">
        <v>45100</v>
      </c>
      <c r="B90" t="s">
        <v>1</v>
      </c>
      <c r="C90">
        <v>100</v>
      </c>
      <c r="D90">
        <v>13</v>
      </c>
      <c r="E90">
        <v>2</v>
      </c>
      <c r="F90" t="s">
        <v>61</v>
      </c>
      <c r="G90" t="s">
        <v>49</v>
      </c>
      <c r="H90">
        <v>5</v>
      </c>
      <c r="I90">
        <v>2800</v>
      </c>
      <c r="J90" t="s">
        <v>49</v>
      </c>
      <c r="K90" t="s">
        <v>49</v>
      </c>
      <c r="L90">
        <v>2</v>
      </c>
    </row>
    <row r="91" spans="1:12" x14ac:dyDescent="0.25">
      <c r="A91" s="4">
        <v>45100</v>
      </c>
      <c r="B91" t="s">
        <v>1</v>
      </c>
      <c r="C91">
        <v>100</v>
      </c>
      <c r="D91">
        <v>13</v>
      </c>
      <c r="E91">
        <v>1</v>
      </c>
      <c r="F91" t="s">
        <v>62</v>
      </c>
      <c r="G91" t="s">
        <v>49</v>
      </c>
      <c r="H91">
        <v>5</v>
      </c>
      <c r="I91">
        <v>2800</v>
      </c>
      <c r="J91" t="s">
        <v>49</v>
      </c>
      <c r="K91" t="s">
        <v>49</v>
      </c>
      <c r="L91">
        <v>2</v>
      </c>
    </row>
    <row r="92" spans="1:12" x14ac:dyDescent="0.25">
      <c r="A92" s="4">
        <v>45100</v>
      </c>
      <c r="B92" t="s">
        <v>1</v>
      </c>
      <c r="C92">
        <v>100</v>
      </c>
      <c r="D92">
        <v>13</v>
      </c>
      <c r="E92">
        <v>1</v>
      </c>
      <c r="F92" t="s">
        <v>63</v>
      </c>
      <c r="G92" t="s">
        <v>49</v>
      </c>
      <c r="H92">
        <v>5</v>
      </c>
      <c r="I92">
        <v>2800</v>
      </c>
      <c r="J92" t="s">
        <v>49</v>
      </c>
      <c r="K92" t="s">
        <v>49</v>
      </c>
      <c r="L92">
        <v>2</v>
      </c>
    </row>
    <row r="93" spans="1:12" x14ac:dyDescent="0.25">
      <c r="A93" s="4">
        <v>45100</v>
      </c>
      <c r="B93" t="s">
        <v>1</v>
      </c>
      <c r="C93">
        <v>100</v>
      </c>
      <c r="D93">
        <v>14</v>
      </c>
      <c r="E93">
        <v>0</v>
      </c>
      <c r="F93" t="s">
        <v>6</v>
      </c>
      <c r="G93" t="s">
        <v>49</v>
      </c>
      <c r="H93">
        <v>5</v>
      </c>
      <c r="I93">
        <v>2800</v>
      </c>
      <c r="J93" t="s">
        <v>49</v>
      </c>
      <c r="K93" t="s">
        <v>49</v>
      </c>
      <c r="L93">
        <v>2</v>
      </c>
    </row>
    <row r="94" spans="1:12" x14ac:dyDescent="0.25">
      <c r="A94" s="4">
        <v>45100</v>
      </c>
      <c r="B94" t="s">
        <v>1</v>
      </c>
      <c r="C94">
        <v>100</v>
      </c>
      <c r="D94">
        <v>14</v>
      </c>
      <c r="E94">
        <v>1</v>
      </c>
      <c r="F94" t="s">
        <v>51</v>
      </c>
      <c r="G94" t="s">
        <v>49</v>
      </c>
      <c r="H94">
        <v>5</v>
      </c>
      <c r="I94">
        <v>2800</v>
      </c>
      <c r="J94" t="s">
        <v>49</v>
      </c>
      <c r="K94" t="s">
        <v>49</v>
      </c>
      <c r="L94">
        <v>2</v>
      </c>
    </row>
    <row r="95" spans="1:12" x14ac:dyDescent="0.25">
      <c r="A95" s="4">
        <v>45100</v>
      </c>
      <c r="B95" t="s">
        <v>1</v>
      </c>
      <c r="C95">
        <v>100</v>
      </c>
      <c r="D95">
        <v>14</v>
      </c>
      <c r="E95">
        <v>0</v>
      </c>
      <c r="F95" t="s">
        <v>6</v>
      </c>
      <c r="G95" t="s">
        <v>49</v>
      </c>
      <c r="H95">
        <v>5</v>
      </c>
      <c r="I95">
        <v>2800</v>
      </c>
      <c r="J95" t="s">
        <v>49</v>
      </c>
      <c r="K95" t="s">
        <v>49</v>
      </c>
      <c r="L95">
        <v>2</v>
      </c>
    </row>
    <row r="96" spans="1:12" x14ac:dyDescent="0.25">
      <c r="A96" s="4">
        <v>45100</v>
      </c>
      <c r="B96" t="s">
        <v>1</v>
      </c>
      <c r="C96">
        <v>100</v>
      </c>
      <c r="D96">
        <v>14</v>
      </c>
      <c r="E96">
        <v>0</v>
      </c>
      <c r="F96" t="s">
        <v>6</v>
      </c>
      <c r="G96" t="s">
        <v>49</v>
      </c>
      <c r="H96">
        <v>5</v>
      </c>
      <c r="I96">
        <v>2800</v>
      </c>
      <c r="J96" t="s">
        <v>49</v>
      </c>
      <c r="K96" t="s">
        <v>49</v>
      </c>
      <c r="L96">
        <v>2</v>
      </c>
    </row>
    <row r="97" spans="1:12" x14ac:dyDescent="0.25">
      <c r="A97" s="4">
        <v>45100</v>
      </c>
      <c r="B97" t="s">
        <v>1</v>
      </c>
      <c r="C97">
        <v>100</v>
      </c>
      <c r="D97">
        <v>14</v>
      </c>
      <c r="E97">
        <v>1</v>
      </c>
      <c r="F97" t="s">
        <v>51</v>
      </c>
      <c r="G97" t="s">
        <v>49</v>
      </c>
      <c r="H97">
        <v>5</v>
      </c>
      <c r="I97">
        <v>2800</v>
      </c>
      <c r="J97" t="s">
        <v>49</v>
      </c>
      <c r="K97" t="s">
        <v>49</v>
      </c>
      <c r="L97">
        <v>2</v>
      </c>
    </row>
    <row r="98" spans="1:12" x14ac:dyDescent="0.25">
      <c r="A98" s="4">
        <v>45100</v>
      </c>
      <c r="B98" t="s">
        <v>1</v>
      </c>
      <c r="C98">
        <v>100</v>
      </c>
      <c r="D98">
        <v>14</v>
      </c>
      <c r="E98">
        <v>0</v>
      </c>
      <c r="F98" t="s">
        <v>6</v>
      </c>
      <c r="G98" t="s">
        <v>49</v>
      </c>
      <c r="H98">
        <v>5</v>
      </c>
      <c r="I98">
        <v>2800</v>
      </c>
      <c r="J98" t="s">
        <v>49</v>
      </c>
      <c r="K98" t="s">
        <v>49</v>
      </c>
      <c r="L98">
        <v>2</v>
      </c>
    </row>
    <row r="99" spans="1:12" x14ac:dyDescent="0.25">
      <c r="A99" s="4">
        <v>45100</v>
      </c>
      <c r="B99" t="s">
        <v>1</v>
      </c>
      <c r="C99">
        <v>100</v>
      </c>
      <c r="D99">
        <v>14</v>
      </c>
      <c r="E99">
        <v>0</v>
      </c>
      <c r="F99" t="s">
        <v>6</v>
      </c>
      <c r="G99" t="s">
        <v>49</v>
      </c>
      <c r="H99">
        <v>5</v>
      </c>
      <c r="I99">
        <v>2800</v>
      </c>
      <c r="J99" t="s">
        <v>49</v>
      </c>
      <c r="K99" t="s">
        <v>49</v>
      </c>
      <c r="L99">
        <v>2</v>
      </c>
    </row>
    <row r="100" spans="1:12" x14ac:dyDescent="0.25">
      <c r="A100" s="4">
        <v>45100</v>
      </c>
      <c r="B100" t="s">
        <v>1</v>
      </c>
      <c r="C100">
        <v>100</v>
      </c>
      <c r="D100">
        <v>14</v>
      </c>
      <c r="E100">
        <v>0</v>
      </c>
      <c r="F100" t="s">
        <v>6</v>
      </c>
      <c r="G100" t="s">
        <v>49</v>
      </c>
      <c r="H100">
        <v>5</v>
      </c>
      <c r="I100">
        <v>2800</v>
      </c>
      <c r="J100" t="s">
        <v>49</v>
      </c>
      <c r="K100" t="s">
        <v>49</v>
      </c>
      <c r="L100">
        <v>2</v>
      </c>
    </row>
    <row r="101" spans="1:12" x14ac:dyDescent="0.25">
      <c r="A101" s="4">
        <v>45100</v>
      </c>
      <c r="B101" t="s">
        <v>1</v>
      </c>
      <c r="C101">
        <v>100</v>
      </c>
      <c r="D101">
        <v>14</v>
      </c>
      <c r="E101">
        <v>1</v>
      </c>
      <c r="F101" t="s">
        <v>42</v>
      </c>
      <c r="G101" t="s">
        <v>49</v>
      </c>
      <c r="H101">
        <v>5</v>
      </c>
      <c r="I101">
        <v>2800</v>
      </c>
      <c r="J101" t="s">
        <v>49</v>
      </c>
      <c r="K101" t="s">
        <v>49</v>
      </c>
      <c r="L101">
        <v>2</v>
      </c>
    </row>
    <row r="102" spans="1:12" x14ac:dyDescent="0.25">
      <c r="A102" s="4">
        <v>45100</v>
      </c>
      <c r="B102" t="s">
        <v>1</v>
      </c>
      <c r="C102">
        <v>100</v>
      </c>
      <c r="D102">
        <v>14</v>
      </c>
      <c r="E102">
        <v>0</v>
      </c>
      <c r="F102" t="s">
        <v>6</v>
      </c>
      <c r="G102" t="s">
        <v>49</v>
      </c>
      <c r="H102">
        <v>5</v>
      </c>
      <c r="I102">
        <v>2800</v>
      </c>
      <c r="J102" t="s">
        <v>49</v>
      </c>
      <c r="K102" t="s">
        <v>49</v>
      </c>
      <c r="L102">
        <v>2</v>
      </c>
    </row>
    <row r="103" spans="1:12" x14ac:dyDescent="0.25">
      <c r="A103" s="4">
        <v>45099</v>
      </c>
      <c r="B103" t="s">
        <v>1</v>
      </c>
      <c r="C103">
        <v>100</v>
      </c>
      <c r="D103">
        <v>15</v>
      </c>
      <c r="E103">
        <v>0</v>
      </c>
      <c r="F103" t="s">
        <v>6</v>
      </c>
      <c r="G103" t="s">
        <v>49</v>
      </c>
      <c r="H103">
        <v>5</v>
      </c>
      <c r="I103">
        <v>2800</v>
      </c>
      <c r="J103" t="s">
        <v>49</v>
      </c>
      <c r="K103" t="s">
        <v>49</v>
      </c>
      <c r="L103">
        <v>2</v>
      </c>
    </row>
    <row r="104" spans="1:12" x14ac:dyDescent="0.25">
      <c r="A104" s="4">
        <v>45099</v>
      </c>
      <c r="B104" t="s">
        <v>1</v>
      </c>
      <c r="C104">
        <v>100</v>
      </c>
      <c r="D104">
        <v>15</v>
      </c>
      <c r="E104">
        <v>0</v>
      </c>
      <c r="F104" t="s">
        <v>6</v>
      </c>
      <c r="G104" t="s">
        <v>49</v>
      </c>
      <c r="H104">
        <v>5</v>
      </c>
      <c r="I104">
        <v>2800</v>
      </c>
      <c r="J104" t="s">
        <v>49</v>
      </c>
      <c r="K104" t="s">
        <v>49</v>
      </c>
      <c r="L104">
        <v>2</v>
      </c>
    </row>
    <row r="105" spans="1:12" x14ac:dyDescent="0.25">
      <c r="A105" s="4">
        <v>45099</v>
      </c>
      <c r="B105" t="s">
        <v>1</v>
      </c>
      <c r="C105">
        <v>200</v>
      </c>
      <c r="D105">
        <v>15</v>
      </c>
      <c r="E105">
        <v>0</v>
      </c>
      <c r="F105" t="s">
        <v>6</v>
      </c>
      <c r="G105" t="s">
        <v>49</v>
      </c>
      <c r="H105">
        <v>5</v>
      </c>
      <c r="I105">
        <v>2800</v>
      </c>
      <c r="J105" t="s">
        <v>49</v>
      </c>
      <c r="K105" t="s">
        <v>49</v>
      </c>
      <c r="L105">
        <v>2</v>
      </c>
    </row>
    <row r="106" spans="1:12" x14ac:dyDescent="0.25">
      <c r="A106" s="4">
        <v>45099</v>
      </c>
      <c r="B106" t="s">
        <v>1</v>
      </c>
      <c r="C106">
        <v>100</v>
      </c>
      <c r="D106">
        <v>15</v>
      </c>
      <c r="E106">
        <v>0</v>
      </c>
      <c r="F106" t="s">
        <v>6</v>
      </c>
      <c r="G106" t="s">
        <v>49</v>
      </c>
      <c r="H106">
        <v>5</v>
      </c>
      <c r="I106">
        <v>2800</v>
      </c>
      <c r="J106" t="s">
        <v>49</v>
      </c>
      <c r="K106" t="s">
        <v>49</v>
      </c>
      <c r="L106">
        <v>2</v>
      </c>
    </row>
    <row r="107" spans="1:12" x14ac:dyDescent="0.25">
      <c r="A107" s="4">
        <v>45099</v>
      </c>
      <c r="B107" t="s">
        <v>1</v>
      </c>
      <c r="C107">
        <v>100</v>
      </c>
      <c r="D107">
        <v>15</v>
      </c>
      <c r="E107">
        <v>0</v>
      </c>
      <c r="F107" t="s">
        <v>6</v>
      </c>
      <c r="G107" t="s">
        <v>49</v>
      </c>
      <c r="H107">
        <v>5</v>
      </c>
      <c r="I107">
        <v>2800</v>
      </c>
      <c r="J107" t="s">
        <v>49</v>
      </c>
      <c r="K107" t="s">
        <v>49</v>
      </c>
      <c r="L107">
        <v>2</v>
      </c>
    </row>
    <row r="108" spans="1:12" x14ac:dyDescent="0.25">
      <c r="A108" s="4">
        <v>45102</v>
      </c>
      <c r="B108" t="s">
        <v>1</v>
      </c>
      <c r="C108">
        <v>100</v>
      </c>
      <c r="D108">
        <v>15</v>
      </c>
      <c r="E108">
        <v>0</v>
      </c>
      <c r="F108" t="s">
        <v>6</v>
      </c>
      <c r="G108" t="s">
        <v>49</v>
      </c>
      <c r="H108">
        <v>5</v>
      </c>
      <c r="I108">
        <v>2800</v>
      </c>
      <c r="J108" t="s">
        <v>49</v>
      </c>
      <c r="K108" t="s">
        <v>49</v>
      </c>
      <c r="L108">
        <v>2</v>
      </c>
    </row>
    <row r="109" spans="1:12" x14ac:dyDescent="0.25">
      <c r="A109" s="4">
        <v>45102</v>
      </c>
      <c r="B109" t="s">
        <v>1</v>
      </c>
      <c r="C109">
        <v>100</v>
      </c>
      <c r="D109">
        <v>15</v>
      </c>
      <c r="E109">
        <v>0</v>
      </c>
      <c r="F109" t="s">
        <v>6</v>
      </c>
      <c r="G109" t="s">
        <v>49</v>
      </c>
      <c r="H109">
        <v>5</v>
      </c>
      <c r="I109">
        <v>2800</v>
      </c>
      <c r="J109" t="s">
        <v>49</v>
      </c>
      <c r="K109" t="s">
        <v>49</v>
      </c>
      <c r="L109">
        <v>2</v>
      </c>
    </row>
    <row r="110" spans="1:12" x14ac:dyDescent="0.25">
      <c r="A110" s="4">
        <v>45102</v>
      </c>
      <c r="B110" t="s">
        <v>1</v>
      </c>
      <c r="C110">
        <v>100</v>
      </c>
      <c r="D110">
        <v>15</v>
      </c>
      <c r="E110">
        <v>0</v>
      </c>
      <c r="F110" t="s">
        <v>6</v>
      </c>
      <c r="G110" t="s">
        <v>49</v>
      </c>
      <c r="H110">
        <v>5</v>
      </c>
      <c r="I110">
        <v>2800</v>
      </c>
      <c r="J110" t="s">
        <v>49</v>
      </c>
      <c r="K110" t="s">
        <v>49</v>
      </c>
      <c r="L110">
        <v>2</v>
      </c>
    </row>
    <row r="111" spans="1:12" x14ac:dyDescent="0.25">
      <c r="A111" s="4">
        <v>45102</v>
      </c>
      <c r="B111" t="s">
        <v>1</v>
      </c>
      <c r="C111">
        <v>100</v>
      </c>
      <c r="D111">
        <v>15</v>
      </c>
      <c r="E111">
        <v>0</v>
      </c>
      <c r="F111" t="s">
        <v>6</v>
      </c>
      <c r="G111" t="s">
        <v>49</v>
      </c>
      <c r="H111">
        <v>5</v>
      </c>
      <c r="I111">
        <v>2800</v>
      </c>
      <c r="J111" t="s">
        <v>49</v>
      </c>
      <c r="K111" t="s">
        <v>49</v>
      </c>
      <c r="L111">
        <v>2</v>
      </c>
    </row>
    <row r="112" spans="1:12" x14ac:dyDescent="0.25">
      <c r="A112" s="4">
        <v>45102</v>
      </c>
      <c r="B112" t="s">
        <v>1</v>
      </c>
      <c r="C112">
        <v>100</v>
      </c>
      <c r="D112">
        <v>15</v>
      </c>
      <c r="E112">
        <v>0</v>
      </c>
      <c r="F112" t="s">
        <v>6</v>
      </c>
      <c r="G112" t="s">
        <v>49</v>
      </c>
      <c r="H112">
        <v>5</v>
      </c>
      <c r="I112">
        <v>2800</v>
      </c>
      <c r="J112" t="s">
        <v>49</v>
      </c>
      <c r="K112" t="s">
        <v>49</v>
      </c>
      <c r="L112">
        <v>2</v>
      </c>
    </row>
    <row r="113" spans="1:12" x14ac:dyDescent="0.25">
      <c r="A113" s="4">
        <v>45099</v>
      </c>
      <c r="B113" t="s">
        <v>1</v>
      </c>
      <c r="C113">
        <v>100</v>
      </c>
      <c r="D113">
        <v>15</v>
      </c>
      <c r="E113">
        <v>0</v>
      </c>
      <c r="F113" t="s">
        <v>6</v>
      </c>
      <c r="G113" t="s">
        <v>49</v>
      </c>
      <c r="H113">
        <v>5</v>
      </c>
      <c r="I113">
        <v>2800</v>
      </c>
      <c r="J113" t="s">
        <v>49</v>
      </c>
      <c r="K113" s="11" t="s">
        <v>54</v>
      </c>
      <c r="L113">
        <v>2</v>
      </c>
    </row>
    <row r="114" spans="1:12" x14ac:dyDescent="0.25">
      <c r="A114" s="4">
        <v>45099</v>
      </c>
      <c r="B114" t="s">
        <v>1</v>
      </c>
      <c r="C114" s="11">
        <v>200</v>
      </c>
      <c r="D114">
        <v>15</v>
      </c>
      <c r="E114">
        <v>0</v>
      </c>
      <c r="F114" t="s">
        <v>6</v>
      </c>
      <c r="G114" t="s">
        <v>49</v>
      </c>
      <c r="H114">
        <v>5</v>
      </c>
      <c r="I114">
        <v>2800</v>
      </c>
      <c r="J114" t="s">
        <v>49</v>
      </c>
      <c r="K114" s="11" t="s">
        <v>54</v>
      </c>
      <c r="L114">
        <v>2</v>
      </c>
    </row>
    <row r="115" spans="1:12" x14ac:dyDescent="0.25">
      <c r="A115" s="4">
        <v>45099</v>
      </c>
      <c r="B115" t="s">
        <v>1</v>
      </c>
      <c r="C115">
        <v>100</v>
      </c>
      <c r="D115">
        <v>20</v>
      </c>
      <c r="E115">
        <v>0</v>
      </c>
      <c r="F115" t="s">
        <v>6</v>
      </c>
      <c r="G115" t="s">
        <v>49</v>
      </c>
      <c r="H115">
        <v>5</v>
      </c>
      <c r="I115">
        <v>2800</v>
      </c>
      <c r="J115" t="s">
        <v>49</v>
      </c>
      <c r="K115" t="s">
        <v>49</v>
      </c>
      <c r="L115">
        <v>2</v>
      </c>
    </row>
    <row r="116" spans="1:12" x14ac:dyDescent="0.25">
      <c r="A116" s="4">
        <v>45099</v>
      </c>
      <c r="B116" t="s">
        <v>1</v>
      </c>
      <c r="C116">
        <v>100</v>
      </c>
      <c r="D116">
        <v>20</v>
      </c>
      <c r="E116">
        <v>0</v>
      </c>
      <c r="F116" t="s">
        <v>6</v>
      </c>
      <c r="G116" t="s">
        <v>49</v>
      </c>
      <c r="H116">
        <v>5</v>
      </c>
      <c r="I116">
        <v>2800</v>
      </c>
      <c r="J116" t="s">
        <v>49</v>
      </c>
      <c r="K116" t="s">
        <v>49</v>
      </c>
      <c r="L116">
        <v>2</v>
      </c>
    </row>
  </sheetData>
  <mergeCells count="3">
    <mergeCell ref="G1:K1"/>
    <mergeCell ref="A1:D1"/>
    <mergeCell ref="E1:F1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773D7-6FA9-4D3C-8C3F-8311FB1FD1F9}">
  <dimension ref="B2:O42"/>
  <sheetViews>
    <sheetView workbookViewId="0">
      <selection activeCell="K19" sqref="K19"/>
    </sheetView>
  </sheetViews>
  <sheetFormatPr defaultRowHeight="15" x14ac:dyDescent="0.25"/>
  <cols>
    <col min="3" max="3" width="11.42578125" bestFit="1" customWidth="1"/>
    <col min="4" max="4" width="16.42578125" bestFit="1" customWidth="1"/>
    <col min="5" max="5" width="22.5703125" bestFit="1" customWidth="1"/>
    <col min="6" max="6" width="9.5703125" bestFit="1" customWidth="1"/>
    <col min="11" max="11" width="11.42578125" customWidth="1"/>
    <col min="12" max="12" width="10.7109375" customWidth="1"/>
    <col min="13" max="13" width="11.42578125" customWidth="1"/>
    <col min="14" max="14" width="10.7109375" bestFit="1" customWidth="1"/>
    <col min="15" max="15" width="11.140625" bestFit="1" customWidth="1"/>
  </cols>
  <sheetData>
    <row r="2" spans="2:14" x14ac:dyDescent="0.25">
      <c r="B2" s="1" t="s">
        <v>0</v>
      </c>
      <c r="C2" s="1" t="s">
        <v>2</v>
      </c>
      <c r="D2" s="1" t="s">
        <v>3</v>
      </c>
      <c r="E2" s="1" t="s">
        <v>4</v>
      </c>
    </row>
    <row r="3" spans="2:14" x14ac:dyDescent="0.25">
      <c r="B3" t="s">
        <v>1</v>
      </c>
      <c r="C3">
        <v>100</v>
      </c>
      <c r="D3">
        <v>10</v>
      </c>
      <c r="E3">
        <v>14</v>
      </c>
    </row>
    <row r="4" spans="2:14" x14ac:dyDescent="0.25">
      <c r="B4" t="s">
        <v>1</v>
      </c>
      <c r="C4">
        <v>100</v>
      </c>
      <c r="D4">
        <v>10</v>
      </c>
      <c r="E4">
        <v>48.2</v>
      </c>
    </row>
    <row r="5" spans="2:14" x14ac:dyDescent="0.25">
      <c r="B5" t="s">
        <v>1</v>
      </c>
      <c r="C5">
        <v>100</v>
      </c>
      <c r="D5">
        <v>10</v>
      </c>
      <c r="E5">
        <v>35.299999999999997</v>
      </c>
    </row>
    <row r="6" spans="2:14" x14ac:dyDescent="0.25">
      <c r="B6" t="s">
        <v>1</v>
      </c>
      <c r="C6">
        <v>100</v>
      </c>
      <c r="D6">
        <v>10</v>
      </c>
      <c r="E6">
        <v>35.4</v>
      </c>
    </row>
    <row r="8" spans="2:14" x14ac:dyDescent="0.25">
      <c r="B8" t="s">
        <v>1</v>
      </c>
      <c r="C8">
        <v>100</v>
      </c>
      <c r="D8">
        <v>10</v>
      </c>
      <c r="E8">
        <v>1215</v>
      </c>
      <c r="F8" t="s">
        <v>5</v>
      </c>
      <c r="G8">
        <v>58</v>
      </c>
      <c r="H8" t="s">
        <v>8</v>
      </c>
    </row>
    <row r="9" spans="2:14" x14ac:dyDescent="0.25">
      <c r="B9" t="s">
        <v>1</v>
      </c>
      <c r="C9">
        <v>100</v>
      </c>
      <c r="D9">
        <v>10</v>
      </c>
      <c r="E9">
        <v>61</v>
      </c>
      <c r="F9" t="s">
        <v>5</v>
      </c>
      <c r="G9">
        <v>58</v>
      </c>
      <c r="H9" t="s">
        <v>8</v>
      </c>
    </row>
    <row r="10" spans="2:14" x14ac:dyDescent="0.25">
      <c r="B10" t="s">
        <v>1</v>
      </c>
      <c r="C10">
        <v>100</v>
      </c>
      <c r="D10">
        <v>10</v>
      </c>
      <c r="E10">
        <v>2051</v>
      </c>
      <c r="F10" t="s">
        <v>5</v>
      </c>
      <c r="G10">
        <v>58</v>
      </c>
      <c r="H10" t="s">
        <v>8</v>
      </c>
      <c r="K10" s="3"/>
    </row>
    <row r="11" spans="2:14" x14ac:dyDescent="0.25">
      <c r="K11" s="3"/>
    </row>
    <row r="12" spans="2:14" x14ac:dyDescent="0.25">
      <c r="B12" t="s">
        <v>1</v>
      </c>
      <c r="C12">
        <v>200</v>
      </c>
      <c r="D12">
        <v>9.3000000000000007</v>
      </c>
      <c r="E12">
        <v>4195</v>
      </c>
      <c r="F12" t="s">
        <v>5</v>
      </c>
      <c r="G12">
        <v>58</v>
      </c>
      <c r="H12" t="s">
        <v>8</v>
      </c>
      <c r="K12" s="3"/>
    </row>
    <row r="13" spans="2:14" x14ac:dyDescent="0.25">
      <c r="B13" t="s">
        <v>1</v>
      </c>
      <c r="C13">
        <v>125</v>
      </c>
      <c r="D13">
        <v>9.5</v>
      </c>
      <c r="E13">
        <v>4195</v>
      </c>
      <c r="F13" t="s">
        <v>5</v>
      </c>
      <c r="G13">
        <v>58</v>
      </c>
      <c r="H13" t="s">
        <v>8</v>
      </c>
      <c r="K13" s="3"/>
    </row>
    <row r="14" spans="2:14" x14ac:dyDescent="0.25">
      <c r="B14" t="s">
        <v>1</v>
      </c>
      <c r="C14">
        <v>200</v>
      </c>
      <c r="D14">
        <v>9.5</v>
      </c>
      <c r="E14">
        <v>2900</v>
      </c>
      <c r="F14" t="s">
        <v>5</v>
      </c>
      <c r="G14">
        <v>58</v>
      </c>
      <c r="H14" t="s">
        <v>8</v>
      </c>
      <c r="K14" s="3"/>
      <c r="L14" s="3"/>
    </row>
    <row r="15" spans="2:14" x14ac:dyDescent="0.25">
      <c r="B15" t="s">
        <v>1</v>
      </c>
      <c r="C15">
        <v>175</v>
      </c>
      <c r="D15">
        <v>9.5</v>
      </c>
      <c r="E15">
        <v>4195</v>
      </c>
      <c r="F15" t="s">
        <v>5</v>
      </c>
      <c r="G15">
        <v>58</v>
      </c>
      <c r="H15" t="s">
        <v>8</v>
      </c>
      <c r="J15" t="s">
        <v>9</v>
      </c>
      <c r="K15">
        <v>1800</v>
      </c>
      <c r="M15" s="3">
        <f>(0.5*(G19*10^-6)*(K15*10^-3)^2)*10^6</f>
        <v>344.57399999999996</v>
      </c>
      <c r="N15" s="3">
        <f>(0.5*(G29*10^-6)*(K15*10^-3)^2)*10^6</f>
        <v>790.56000000000006</v>
      </c>
    </row>
    <row r="16" spans="2:14" x14ac:dyDescent="0.25">
      <c r="B16" t="s">
        <v>1</v>
      </c>
      <c r="C16">
        <v>200</v>
      </c>
      <c r="D16">
        <v>9.5</v>
      </c>
      <c r="E16" t="s">
        <v>6</v>
      </c>
      <c r="J16" t="s">
        <v>10</v>
      </c>
      <c r="K16">
        <v>3600</v>
      </c>
    </row>
    <row r="17" spans="2:15" x14ac:dyDescent="0.25">
      <c r="K17" s="15" t="s">
        <v>14</v>
      </c>
      <c r="L17" s="15"/>
      <c r="M17" s="15"/>
    </row>
    <row r="18" spans="2:15" x14ac:dyDescent="0.25">
      <c r="K18" t="s">
        <v>11</v>
      </c>
      <c r="L18" t="s">
        <v>12</v>
      </c>
      <c r="M18" t="s">
        <v>13</v>
      </c>
      <c r="N18" t="s">
        <v>12</v>
      </c>
      <c r="O18" t="s">
        <v>13</v>
      </c>
    </row>
    <row r="19" spans="2:15" x14ac:dyDescent="0.25">
      <c r="B19" t="s">
        <v>7</v>
      </c>
      <c r="C19">
        <v>200</v>
      </c>
      <c r="D19">
        <v>11</v>
      </c>
      <c r="E19">
        <v>2817</v>
      </c>
      <c r="F19" t="s">
        <v>5</v>
      </c>
      <c r="G19">
        <v>212.7</v>
      </c>
      <c r="H19" t="s">
        <v>8</v>
      </c>
      <c r="K19" s="3">
        <f>(0.5*(G19*10^-6)*(E19*10^-3)^2)*10^6</f>
        <v>843.93925515000001</v>
      </c>
      <c r="L19" s="3">
        <f>(0.5*(G19*10^-6)*(MIN(E19,$K$16)*10^-3)^2)*10^6-$M$15</f>
        <v>499.36525515000005</v>
      </c>
      <c r="M19" s="3">
        <f>L19/2.7</f>
        <v>184.95009450000001</v>
      </c>
      <c r="N19" s="3"/>
      <c r="O19" s="3"/>
    </row>
    <row r="20" spans="2:15" x14ac:dyDescent="0.25">
      <c r="B20" t="s">
        <v>7</v>
      </c>
      <c r="C20">
        <v>200</v>
      </c>
      <c r="D20">
        <v>11</v>
      </c>
      <c r="E20">
        <v>1928</v>
      </c>
      <c r="F20" t="s">
        <v>5</v>
      </c>
      <c r="G20">
        <v>212.7</v>
      </c>
      <c r="H20" t="s">
        <v>8</v>
      </c>
      <c r="K20" s="3">
        <f>(0.5*(G20*10^-6)*(E20*10^-3)^2)*10^6</f>
        <v>395.32251839999986</v>
      </c>
      <c r="L20" s="3">
        <f>(0.5*(G20*10^-6)*(MIN(E20,$K$16)*10^-3)^2)*10^6-$M$15</f>
        <v>50.748518399999909</v>
      </c>
      <c r="M20" s="3">
        <f t="shared" ref="M20:M22" si="0">L20/2.7</f>
        <v>18.795747555555522</v>
      </c>
      <c r="N20" s="3"/>
      <c r="O20" s="3"/>
    </row>
    <row r="21" spans="2:15" x14ac:dyDescent="0.25">
      <c r="B21" t="s">
        <v>7</v>
      </c>
      <c r="C21">
        <v>200</v>
      </c>
      <c r="D21">
        <v>11</v>
      </c>
      <c r="E21">
        <v>4195</v>
      </c>
      <c r="F21" t="s">
        <v>5</v>
      </c>
      <c r="G21">
        <v>212.7</v>
      </c>
      <c r="H21" t="s">
        <v>8</v>
      </c>
      <c r="K21" s="3">
        <f>(0.5*(G21*10^-6)*(E21*10^-3)^2)*10^6</f>
        <v>1871.5499587500001</v>
      </c>
      <c r="L21" s="3">
        <f>(0.5*(G21*10^-6)*(MIN(E21,$K$16)*10^-3)^2)*10^6-$M$15</f>
        <v>1033.7219999999998</v>
      </c>
      <c r="M21" s="3">
        <f t="shared" si="0"/>
        <v>382.8599999999999</v>
      </c>
      <c r="N21" s="3"/>
      <c r="O21" s="3"/>
    </row>
    <row r="22" spans="2:15" x14ac:dyDescent="0.25">
      <c r="B22" t="s">
        <v>7</v>
      </c>
      <c r="C22">
        <v>200</v>
      </c>
      <c r="D22">
        <v>11</v>
      </c>
      <c r="E22">
        <v>2025</v>
      </c>
      <c r="F22" t="s">
        <v>5</v>
      </c>
      <c r="G22">
        <v>212.7</v>
      </c>
      <c r="H22" t="s">
        <v>8</v>
      </c>
      <c r="K22" s="3">
        <f>(0.5*(G22*10^-6)*(E22*10^-3)^2)*10^6</f>
        <v>436.10146874999992</v>
      </c>
      <c r="L22" s="3">
        <f>(0.5*(G22*10^-6)*(MIN(E22,$K$16)*10^-3)^2)*10^6-$M$15</f>
        <v>91.527468749999969</v>
      </c>
      <c r="M22" s="3">
        <f t="shared" si="0"/>
        <v>33.899062499999985</v>
      </c>
      <c r="N22" s="3"/>
      <c r="O22" s="3"/>
    </row>
    <row r="23" spans="2:15" x14ac:dyDescent="0.25">
      <c r="K23" s="3"/>
      <c r="L23" s="3"/>
      <c r="M23" s="3"/>
      <c r="N23" s="3"/>
      <c r="O23" s="3"/>
    </row>
    <row r="24" spans="2:15" x14ac:dyDescent="0.25">
      <c r="B24" t="s">
        <v>7</v>
      </c>
      <c r="C24">
        <v>200</v>
      </c>
      <c r="D24">
        <v>10.199999999999999</v>
      </c>
      <c r="E24">
        <v>2046</v>
      </c>
      <c r="F24" t="s">
        <v>5</v>
      </c>
      <c r="G24">
        <v>212.7</v>
      </c>
      <c r="H24" t="s">
        <v>8</v>
      </c>
      <c r="K24" s="3">
        <f t="shared" ref="K24:K34" si="1">(0.5*(G24*10^-6)*(E24*10^-3)^2)*10^6</f>
        <v>445.19343660000004</v>
      </c>
      <c r="L24" s="3">
        <f t="shared" ref="L24:L26" si="2">(0.5*(G24*10^-6)*(MIN(E24,$K$16)*10^-3)^2)*10^6-$M$15</f>
        <v>100.61943660000009</v>
      </c>
      <c r="M24" s="3">
        <f t="shared" ref="M24:M27" si="3">L24/2.7</f>
        <v>37.266458000000029</v>
      </c>
      <c r="N24" s="3"/>
      <c r="O24" s="3"/>
    </row>
    <row r="25" spans="2:15" x14ac:dyDescent="0.25">
      <c r="B25" t="s">
        <v>7</v>
      </c>
      <c r="C25">
        <v>200</v>
      </c>
      <c r="D25">
        <v>10.199999999999999</v>
      </c>
      <c r="E25">
        <v>4195</v>
      </c>
      <c r="F25" t="s">
        <v>5</v>
      </c>
      <c r="G25">
        <v>212.7</v>
      </c>
      <c r="H25" t="s">
        <v>8</v>
      </c>
      <c r="K25" s="3">
        <f t="shared" si="1"/>
        <v>1871.5499587500001</v>
      </c>
      <c r="L25" s="3">
        <f t="shared" si="2"/>
        <v>1033.7219999999998</v>
      </c>
      <c r="M25" s="3">
        <f t="shared" si="3"/>
        <v>382.8599999999999</v>
      </c>
      <c r="N25" s="3"/>
      <c r="O25" s="3"/>
    </row>
    <row r="26" spans="2:15" x14ac:dyDescent="0.25">
      <c r="B26" t="s">
        <v>7</v>
      </c>
      <c r="C26">
        <v>125</v>
      </c>
      <c r="D26">
        <v>10.199999999999999</v>
      </c>
      <c r="E26">
        <v>4195</v>
      </c>
      <c r="F26" t="s">
        <v>5</v>
      </c>
      <c r="G26">
        <v>212.7</v>
      </c>
      <c r="H26" t="s">
        <v>8</v>
      </c>
      <c r="I26" s="2"/>
      <c r="K26" s="3">
        <f t="shared" si="1"/>
        <v>1871.5499587500001</v>
      </c>
      <c r="L26" s="3">
        <f t="shared" si="2"/>
        <v>1033.7219999999998</v>
      </c>
      <c r="M26" s="3">
        <f t="shared" si="3"/>
        <v>382.8599999999999</v>
      </c>
      <c r="N26" s="3"/>
      <c r="O26" s="3"/>
    </row>
    <row r="27" spans="2:15" x14ac:dyDescent="0.25">
      <c r="B27" t="s">
        <v>7</v>
      </c>
      <c r="C27">
        <v>200</v>
      </c>
      <c r="D27">
        <v>10.199999999999999</v>
      </c>
      <c r="E27">
        <v>2281</v>
      </c>
      <c r="F27" t="s">
        <v>5</v>
      </c>
      <c r="G27">
        <v>212.7</v>
      </c>
      <c r="H27" t="s">
        <v>8</v>
      </c>
      <c r="K27" s="3">
        <f t="shared" si="1"/>
        <v>553.33490234999999</v>
      </c>
      <c r="L27" s="3">
        <f>(0.5*(G27*10^-6)*(MIN(E27,$K$16)*10^-3)^2)*10^6-$M$15</f>
        <v>208.76090235000004</v>
      </c>
      <c r="M27" s="3">
        <f t="shared" si="3"/>
        <v>77.318852722222232</v>
      </c>
      <c r="N27" s="3"/>
      <c r="O27" s="3"/>
    </row>
    <row r="28" spans="2:15" x14ac:dyDescent="0.25">
      <c r="I28" s="2"/>
      <c r="K28" s="3"/>
      <c r="L28" s="3"/>
    </row>
    <row r="29" spans="2:15" x14ac:dyDescent="0.25">
      <c r="B29" t="s">
        <v>1</v>
      </c>
      <c r="C29">
        <v>200</v>
      </c>
      <c r="D29">
        <v>10.199999999999999</v>
      </c>
      <c r="E29">
        <v>3364</v>
      </c>
      <c r="F29" t="s">
        <v>5</v>
      </c>
      <c r="G29">
        <v>488</v>
      </c>
      <c r="H29" t="s">
        <v>8</v>
      </c>
      <c r="K29" s="3">
        <f t="shared" si="1"/>
        <v>2761.2250239999998</v>
      </c>
      <c r="L29" s="3">
        <f>(0.5*(G29*10^-6)*(MIN(E29,$K$16)*10^-3)^2)*10^6-$N$15</f>
        <v>1970.6650239999999</v>
      </c>
    </row>
    <row r="30" spans="2:15" x14ac:dyDescent="0.25">
      <c r="B30" t="s">
        <v>1</v>
      </c>
      <c r="C30">
        <v>200</v>
      </c>
      <c r="D30">
        <v>10.199999999999999</v>
      </c>
      <c r="E30">
        <v>1900</v>
      </c>
      <c r="F30" t="s">
        <v>5</v>
      </c>
      <c r="G30">
        <v>488</v>
      </c>
      <c r="H30" t="s">
        <v>8</v>
      </c>
      <c r="K30" s="3">
        <f t="shared" si="1"/>
        <v>880.84</v>
      </c>
      <c r="L30" s="3">
        <f t="shared" ref="L30:L34" si="4">(0.5*(G30*10^-6)*(MIN(E30,$K$16)*10^-3)^2)*10^6-$N$15</f>
        <v>90.279999999999973</v>
      </c>
    </row>
    <row r="31" spans="2:15" x14ac:dyDescent="0.25">
      <c r="B31" t="s">
        <v>1</v>
      </c>
      <c r="C31">
        <v>200</v>
      </c>
      <c r="D31">
        <v>10.199999999999999</v>
      </c>
      <c r="E31">
        <v>1905</v>
      </c>
      <c r="F31" t="s">
        <v>5</v>
      </c>
      <c r="G31">
        <v>488</v>
      </c>
      <c r="H31" t="s">
        <v>8</v>
      </c>
      <c r="K31" s="3">
        <f t="shared" si="1"/>
        <v>885.48209999999995</v>
      </c>
      <c r="L31" s="3">
        <f t="shared" si="4"/>
        <v>94.922099999999887</v>
      </c>
    </row>
    <row r="32" spans="2:15" x14ac:dyDescent="0.25">
      <c r="K32" s="3"/>
      <c r="L32" s="3"/>
    </row>
    <row r="33" spans="2:12" x14ac:dyDescent="0.25">
      <c r="B33" t="s">
        <v>1</v>
      </c>
      <c r="C33">
        <v>200</v>
      </c>
      <c r="D33">
        <v>10</v>
      </c>
      <c r="E33">
        <v>1805</v>
      </c>
      <c r="F33" t="s">
        <v>5</v>
      </c>
      <c r="G33">
        <v>488</v>
      </c>
      <c r="H33" t="s">
        <v>8</v>
      </c>
      <c r="K33" s="3">
        <f t="shared" si="1"/>
        <v>794.95809999999994</v>
      </c>
      <c r="L33" s="3">
        <f t="shared" si="4"/>
        <v>4.3980999999998858</v>
      </c>
    </row>
    <row r="34" spans="2:12" x14ac:dyDescent="0.25">
      <c r="B34" t="s">
        <v>1</v>
      </c>
      <c r="C34">
        <v>200</v>
      </c>
      <c r="D34">
        <v>10</v>
      </c>
      <c r="E34">
        <v>2598</v>
      </c>
      <c r="F34" t="s">
        <v>5</v>
      </c>
      <c r="G34">
        <v>488</v>
      </c>
      <c r="H34" t="s">
        <v>8</v>
      </c>
      <c r="K34" s="3">
        <f t="shared" si="1"/>
        <v>1646.903376</v>
      </c>
      <c r="L34" s="3">
        <f t="shared" si="4"/>
        <v>856.34337599999992</v>
      </c>
    </row>
    <row r="36" spans="2:12" x14ac:dyDescent="0.25">
      <c r="B36" t="s">
        <v>1</v>
      </c>
      <c r="C36">
        <v>200</v>
      </c>
      <c r="D36">
        <v>15</v>
      </c>
      <c r="E36">
        <v>3107</v>
      </c>
      <c r="G36">
        <v>488</v>
      </c>
    </row>
    <row r="37" spans="2:12" x14ac:dyDescent="0.25">
      <c r="B37" t="s">
        <v>1</v>
      </c>
      <c r="C37">
        <v>200</v>
      </c>
      <c r="D37">
        <v>15</v>
      </c>
      <c r="E37">
        <v>2552</v>
      </c>
      <c r="G37">
        <v>488</v>
      </c>
    </row>
    <row r="38" spans="2:12" x14ac:dyDescent="0.25">
      <c r="B38" t="s">
        <v>1</v>
      </c>
      <c r="C38">
        <v>200</v>
      </c>
      <c r="D38">
        <v>15</v>
      </c>
      <c r="E38">
        <v>2328</v>
      </c>
      <c r="G38">
        <v>488</v>
      </c>
    </row>
    <row r="40" spans="2:12" x14ac:dyDescent="0.25">
      <c r="B40" t="s">
        <v>1</v>
      </c>
      <c r="C40">
        <v>200</v>
      </c>
      <c r="D40">
        <v>15</v>
      </c>
      <c r="E40">
        <v>1879</v>
      </c>
      <c r="G40">
        <v>488</v>
      </c>
    </row>
    <row r="41" spans="2:12" x14ac:dyDescent="0.25">
      <c r="B41" t="s">
        <v>1</v>
      </c>
      <c r="C41">
        <v>200</v>
      </c>
      <c r="D41">
        <v>15</v>
      </c>
      <c r="E41">
        <v>1950</v>
      </c>
      <c r="G41">
        <v>488</v>
      </c>
    </row>
    <row r="42" spans="2:12" x14ac:dyDescent="0.25">
      <c r="B42" t="s">
        <v>1</v>
      </c>
      <c r="C42">
        <v>200</v>
      </c>
      <c r="D42">
        <v>15</v>
      </c>
      <c r="E42">
        <v>1188</v>
      </c>
      <c r="G42">
        <v>488</v>
      </c>
    </row>
  </sheetData>
  <mergeCells count="1">
    <mergeCell ref="K17:M17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0"/>
  <sheetViews>
    <sheetView workbookViewId="0">
      <selection activeCell="D12" sqref="D12"/>
    </sheetView>
  </sheetViews>
  <sheetFormatPr defaultRowHeight="15" x14ac:dyDescent="0.25"/>
  <cols>
    <col min="3" max="3" width="11.42578125" bestFit="1" customWidth="1"/>
    <col min="4" max="4" width="16.42578125" bestFit="1" customWidth="1"/>
    <col min="5" max="5" width="22.5703125" bestFit="1" customWidth="1"/>
  </cols>
  <sheetData>
    <row r="2" spans="2:5" x14ac:dyDescent="0.25">
      <c r="B2" s="1" t="s">
        <v>0</v>
      </c>
      <c r="C2" s="1" t="s">
        <v>2</v>
      </c>
      <c r="D2" s="1" t="s">
        <v>3</v>
      </c>
      <c r="E2" s="1" t="s">
        <v>4</v>
      </c>
    </row>
    <row r="3" spans="2:5" x14ac:dyDescent="0.25">
      <c r="B3" t="s">
        <v>1</v>
      </c>
      <c r="C3">
        <v>100</v>
      </c>
      <c r="D3">
        <v>42.2</v>
      </c>
      <c r="E3">
        <v>10.7</v>
      </c>
    </row>
    <row r="4" spans="2:5" x14ac:dyDescent="0.25">
      <c r="B4" t="s">
        <v>1</v>
      </c>
      <c r="C4">
        <v>100</v>
      </c>
      <c r="D4">
        <v>62</v>
      </c>
      <c r="E4">
        <v>24.8</v>
      </c>
    </row>
    <row r="5" spans="2:5" x14ac:dyDescent="0.25">
      <c r="B5" t="s">
        <v>1</v>
      </c>
      <c r="C5">
        <v>100</v>
      </c>
      <c r="D5">
        <v>50</v>
      </c>
      <c r="E5">
        <v>15</v>
      </c>
    </row>
    <row r="7" spans="2:5" x14ac:dyDescent="0.25">
      <c r="B7" t="s">
        <v>1</v>
      </c>
      <c r="C7">
        <v>100</v>
      </c>
      <c r="D7">
        <v>10</v>
      </c>
      <c r="E7">
        <v>-16.8</v>
      </c>
    </row>
    <row r="8" spans="2:5" x14ac:dyDescent="0.25">
      <c r="B8" t="s">
        <v>1</v>
      </c>
      <c r="C8">
        <v>100</v>
      </c>
      <c r="D8">
        <v>10</v>
      </c>
      <c r="E8">
        <v>-25.6</v>
      </c>
    </row>
    <row r="9" spans="2:5" x14ac:dyDescent="0.25">
      <c r="B9" t="s">
        <v>1</v>
      </c>
      <c r="C9">
        <v>100</v>
      </c>
      <c r="D9">
        <v>10</v>
      </c>
      <c r="E9">
        <v>-25.7</v>
      </c>
    </row>
    <row r="10" spans="2:5" x14ac:dyDescent="0.25">
      <c r="B10" t="s">
        <v>1</v>
      </c>
      <c r="C10">
        <v>100</v>
      </c>
      <c r="D10">
        <v>1</v>
      </c>
      <c r="E10">
        <v>-50</v>
      </c>
    </row>
  </sheetData>
  <pageMargins left="0.7" right="0.7" top="0.75" bottom="0.75" header="0.3" footer="0.3"/>
  <pageSetup paperSize="9" orientation="portrait" horizontalDpi="4294967293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8</vt:i4>
      </vt:variant>
    </vt:vector>
  </HeadingPairs>
  <TitlesOfParts>
    <vt:vector size="8" baseType="lpstr">
      <vt:lpstr>Braces</vt:lpstr>
      <vt:lpstr>Brace 2 - 200 mL</vt:lpstr>
      <vt:lpstr>Brace 2 - 200 mL (Intelval)</vt:lpstr>
      <vt:lpstr>Brace 2 - 100 mL</vt:lpstr>
      <vt:lpstr>Brace 3 - 200 mL</vt:lpstr>
      <vt:lpstr>Brace 5 - 100 mL</vt:lpstr>
      <vt:lpstr>2S</vt:lpstr>
      <vt:lpstr>1S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Peppelman</dc:creator>
  <cp:lastModifiedBy>Christian Peppelman</cp:lastModifiedBy>
  <dcterms:created xsi:type="dcterms:W3CDTF">2015-06-05T18:19:34Z</dcterms:created>
  <dcterms:modified xsi:type="dcterms:W3CDTF">2023-09-07T13:22:10Z</dcterms:modified>
</cp:coreProperties>
</file>